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Administrator\Desktop\终稿\消融实验数据和代码\"/>
    </mc:Choice>
  </mc:AlternateContent>
  <xr:revisionPtr revIDLastSave="0" documentId="13_ncr:1_{E3E8A215-0BA7-4522-9131-7156963E59EE}" xr6:coauthVersionLast="47" xr6:coauthVersionMax="47" xr10:uidLastSave="{00000000-0000-0000-0000-000000000000}"/>
  <bookViews>
    <workbookView xWindow="0" yWindow="1176" windowWidth="23040" windowHeight="11064" xr2:uid="{00000000-000D-0000-FFFF-FFFF00000000}"/>
  </bookViews>
  <sheets>
    <sheet name="加工表" sheetId="5" r:id="rId1"/>
    <sheet name="辅助表" sheetId="6" r:id="rId2"/>
    <sheet name="原数据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D213" i="5"/>
  <c r="E213" i="5"/>
  <c r="F213" i="5"/>
  <c r="G213" i="5"/>
  <c r="H213" i="5"/>
  <c r="I213" i="5"/>
  <c r="J213" i="5"/>
  <c r="C213" i="5"/>
  <c r="C17" i="5"/>
  <c r="D17" i="5"/>
  <c r="E17" i="5"/>
  <c r="F17" i="5"/>
  <c r="G17" i="5"/>
  <c r="H17" i="5"/>
  <c r="I17" i="5"/>
  <c r="J17" i="5"/>
  <c r="C18" i="5"/>
  <c r="D18" i="5"/>
  <c r="E18" i="5"/>
  <c r="F18" i="5"/>
  <c r="G18" i="5"/>
  <c r="H18" i="5"/>
  <c r="I18" i="5"/>
  <c r="J18" i="5"/>
  <c r="C24" i="5"/>
  <c r="D24" i="5"/>
  <c r="E24" i="5"/>
  <c r="F24" i="5"/>
  <c r="G24" i="5"/>
  <c r="H24" i="5"/>
  <c r="I24" i="5"/>
  <c r="J24" i="5"/>
  <c r="C25" i="5"/>
  <c r="D25" i="5"/>
  <c r="E25" i="5"/>
  <c r="F25" i="5"/>
  <c r="G25" i="5"/>
  <c r="H25" i="5"/>
  <c r="I25" i="5"/>
  <c r="J25" i="5"/>
  <c r="C31" i="5"/>
  <c r="D31" i="5"/>
  <c r="E31" i="5"/>
  <c r="F31" i="5"/>
  <c r="G31" i="5"/>
  <c r="H31" i="5"/>
  <c r="I31" i="5"/>
  <c r="J31" i="5"/>
  <c r="C32" i="5"/>
  <c r="D32" i="5"/>
  <c r="E32" i="5"/>
  <c r="F32" i="5"/>
  <c r="G32" i="5"/>
  <c r="H32" i="5"/>
  <c r="I32" i="5"/>
  <c r="J32" i="5"/>
  <c r="C38" i="5"/>
  <c r="D38" i="5"/>
  <c r="E38" i="5"/>
  <c r="F38" i="5"/>
  <c r="G38" i="5"/>
  <c r="H38" i="5"/>
  <c r="I38" i="5"/>
  <c r="J38" i="5"/>
  <c r="C39" i="5"/>
  <c r="D39" i="5"/>
  <c r="E39" i="5"/>
  <c r="F39" i="5"/>
  <c r="G39" i="5"/>
  <c r="H39" i="5"/>
  <c r="I39" i="5"/>
  <c r="J39" i="5"/>
  <c r="C45" i="5"/>
  <c r="D45" i="5"/>
  <c r="E45" i="5"/>
  <c r="F45" i="5"/>
  <c r="G45" i="5"/>
  <c r="H45" i="5"/>
  <c r="I45" i="5"/>
  <c r="J45" i="5"/>
  <c r="C46" i="5"/>
  <c r="D46" i="5"/>
  <c r="E46" i="5"/>
  <c r="F46" i="5"/>
  <c r="G46" i="5"/>
  <c r="H46" i="5"/>
  <c r="I46" i="5"/>
  <c r="J46" i="5"/>
  <c r="C52" i="5"/>
  <c r="D52" i="5"/>
  <c r="E52" i="5"/>
  <c r="F52" i="5"/>
  <c r="G52" i="5"/>
  <c r="H52" i="5"/>
  <c r="I52" i="5"/>
  <c r="J52" i="5"/>
  <c r="C53" i="5"/>
  <c r="D53" i="5"/>
  <c r="E53" i="5"/>
  <c r="F53" i="5"/>
  <c r="G53" i="5"/>
  <c r="H53" i="5"/>
  <c r="I53" i="5"/>
  <c r="J53" i="5"/>
  <c r="C59" i="5"/>
  <c r="D59" i="5"/>
  <c r="E59" i="5"/>
  <c r="F59" i="5"/>
  <c r="G59" i="5"/>
  <c r="H59" i="5"/>
  <c r="I59" i="5"/>
  <c r="J59" i="5"/>
  <c r="C60" i="5"/>
  <c r="D60" i="5"/>
  <c r="E60" i="5"/>
  <c r="F60" i="5"/>
  <c r="G60" i="5"/>
  <c r="H60" i="5"/>
  <c r="I60" i="5"/>
  <c r="J60" i="5"/>
  <c r="C66" i="5"/>
  <c r="D66" i="5"/>
  <c r="E66" i="5"/>
  <c r="F66" i="5"/>
  <c r="G66" i="5"/>
  <c r="H66" i="5"/>
  <c r="I66" i="5"/>
  <c r="J66" i="5"/>
  <c r="C67" i="5"/>
  <c r="D67" i="5"/>
  <c r="E67" i="5"/>
  <c r="F67" i="5"/>
  <c r="G67" i="5"/>
  <c r="H67" i="5"/>
  <c r="I67" i="5"/>
  <c r="J67" i="5"/>
  <c r="C73" i="5"/>
  <c r="D73" i="5"/>
  <c r="E73" i="5"/>
  <c r="F73" i="5"/>
  <c r="G73" i="5"/>
  <c r="H73" i="5"/>
  <c r="I73" i="5"/>
  <c r="J73" i="5"/>
  <c r="C74" i="5"/>
  <c r="D74" i="5"/>
  <c r="E74" i="5"/>
  <c r="F74" i="5"/>
  <c r="G74" i="5"/>
  <c r="H74" i="5"/>
  <c r="I74" i="5"/>
  <c r="J74" i="5"/>
  <c r="C80" i="5"/>
  <c r="D80" i="5"/>
  <c r="E80" i="5"/>
  <c r="F80" i="5"/>
  <c r="G80" i="5"/>
  <c r="H80" i="5"/>
  <c r="I80" i="5"/>
  <c r="J80" i="5"/>
  <c r="C81" i="5"/>
  <c r="D81" i="5"/>
  <c r="E81" i="5"/>
  <c r="F81" i="5"/>
  <c r="G81" i="5"/>
  <c r="H81" i="5"/>
  <c r="I81" i="5"/>
  <c r="J81" i="5"/>
  <c r="C87" i="5"/>
  <c r="D87" i="5"/>
  <c r="E87" i="5"/>
  <c r="F87" i="5"/>
  <c r="G87" i="5"/>
  <c r="H87" i="5"/>
  <c r="I87" i="5"/>
  <c r="J87" i="5"/>
  <c r="C88" i="5"/>
  <c r="D88" i="5"/>
  <c r="E88" i="5"/>
  <c r="F88" i="5"/>
  <c r="G88" i="5"/>
  <c r="H88" i="5"/>
  <c r="I88" i="5"/>
  <c r="J88" i="5"/>
  <c r="C94" i="5"/>
  <c r="D94" i="5"/>
  <c r="E94" i="5"/>
  <c r="F94" i="5"/>
  <c r="G94" i="5"/>
  <c r="H94" i="5"/>
  <c r="I94" i="5"/>
  <c r="J94" i="5"/>
  <c r="C95" i="5"/>
  <c r="D95" i="5"/>
  <c r="E95" i="5"/>
  <c r="F95" i="5"/>
  <c r="G95" i="5"/>
  <c r="H95" i="5"/>
  <c r="I95" i="5"/>
  <c r="J95" i="5"/>
  <c r="C101" i="5"/>
  <c r="D101" i="5"/>
  <c r="E101" i="5"/>
  <c r="F101" i="5"/>
  <c r="G101" i="5"/>
  <c r="H101" i="5"/>
  <c r="I101" i="5"/>
  <c r="J101" i="5"/>
  <c r="C102" i="5"/>
  <c r="D102" i="5"/>
  <c r="E102" i="5"/>
  <c r="F102" i="5"/>
  <c r="G102" i="5"/>
  <c r="H102" i="5"/>
  <c r="I102" i="5"/>
  <c r="J102" i="5"/>
  <c r="C108" i="5"/>
  <c r="D108" i="5"/>
  <c r="E108" i="5"/>
  <c r="F108" i="5"/>
  <c r="G108" i="5"/>
  <c r="H108" i="5"/>
  <c r="I108" i="5"/>
  <c r="J108" i="5"/>
  <c r="C109" i="5"/>
  <c r="D109" i="5"/>
  <c r="E109" i="5"/>
  <c r="F109" i="5"/>
  <c r="G109" i="5"/>
  <c r="H109" i="5"/>
  <c r="I109" i="5"/>
  <c r="J109" i="5"/>
  <c r="C115" i="5"/>
  <c r="D115" i="5"/>
  <c r="E115" i="5"/>
  <c r="F115" i="5"/>
  <c r="G115" i="5"/>
  <c r="H115" i="5"/>
  <c r="I115" i="5"/>
  <c r="J115" i="5"/>
  <c r="C116" i="5"/>
  <c r="D116" i="5"/>
  <c r="E116" i="5"/>
  <c r="F116" i="5"/>
  <c r="G116" i="5"/>
  <c r="H116" i="5"/>
  <c r="I116" i="5"/>
  <c r="J116" i="5"/>
  <c r="C122" i="5"/>
  <c r="D122" i="5"/>
  <c r="E122" i="5"/>
  <c r="F122" i="5"/>
  <c r="G122" i="5"/>
  <c r="H122" i="5"/>
  <c r="I122" i="5"/>
  <c r="J122" i="5"/>
  <c r="C123" i="5"/>
  <c r="D123" i="5"/>
  <c r="E123" i="5"/>
  <c r="F123" i="5"/>
  <c r="G123" i="5"/>
  <c r="H123" i="5"/>
  <c r="I123" i="5"/>
  <c r="J123" i="5"/>
  <c r="C129" i="5"/>
  <c r="D129" i="5"/>
  <c r="E129" i="5"/>
  <c r="F129" i="5"/>
  <c r="G129" i="5"/>
  <c r="H129" i="5"/>
  <c r="I129" i="5"/>
  <c r="J129" i="5"/>
  <c r="C130" i="5"/>
  <c r="D130" i="5"/>
  <c r="E130" i="5"/>
  <c r="F130" i="5"/>
  <c r="G130" i="5"/>
  <c r="H130" i="5"/>
  <c r="I130" i="5"/>
  <c r="J130" i="5"/>
  <c r="C136" i="5"/>
  <c r="D136" i="5"/>
  <c r="E136" i="5"/>
  <c r="F136" i="5"/>
  <c r="G136" i="5"/>
  <c r="H136" i="5"/>
  <c r="I136" i="5"/>
  <c r="J136" i="5"/>
  <c r="C137" i="5"/>
  <c r="D137" i="5"/>
  <c r="E137" i="5"/>
  <c r="F137" i="5"/>
  <c r="G137" i="5"/>
  <c r="H137" i="5"/>
  <c r="I137" i="5"/>
  <c r="J137" i="5"/>
  <c r="C143" i="5"/>
  <c r="D143" i="5"/>
  <c r="E143" i="5"/>
  <c r="F143" i="5"/>
  <c r="G143" i="5"/>
  <c r="H143" i="5"/>
  <c r="I143" i="5"/>
  <c r="J143" i="5"/>
  <c r="C144" i="5"/>
  <c r="D144" i="5"/>
  <c r="E144" i="5"/>
  <c r="F144" i="5"/>
  <c r="G144" i="5"/>
  <c r="H144" i="5"/>
  <c r="I144" i="5"/>
  <c r="J144" i="5"/>
  <c r="C150" i="5"/>
  <c r="D150" i="5"/>
  <c r="E150" i="5"/>
  <c r="F150" i="5"/>
  <c r="G150" i="5"/>
  <c r="H150" i="5"/>
  <c r="I150" i="5"/>
  <c r="J150" i="5"/>
  <c r="C151" i="5"/>
  <c r="D151" i="5"/>
  <c r="E151" i="5"/>
  <c r="F151" i="5"/>
  <c r="G151" i="5"/>
  <c r="H151" i="5"/>
  <c r="I151" i="5"/>
  <c r="J151" i="5"/>
  <c r="C157" i="5"/>
  <c r="D157" i="5"/>
  <c r="E157" i="5"/>
  <c r="F157" i="5"/>
  <c r="G157" i="5"/>
  <c r="H157" i="5"/>
  <c r="I157" i="5"/>
  <c r="J157" i="5"/>
  <c r="C158" i="5"/>
  <c r="D158" i="5"/>
  <c r="E158" i="5"/>
  <c r="F158" i="5"/>
  <c r="G158" i="5"/>
  <c r="H158" i="5"/>
  <c r="I158" i="5"/>
  <c r="J158" i="5"/>
  <c r="C164" i="5"/>
  <c r="D164" i="5"/>
  <c r="E164" i="5"/>
  <c r="F164" i="5"/>
  <c r="G164" i="5"/>
  <c r="H164" i="5"/>
  <c r="I164" i="5"/>
  <c r="J164" i="5"/>
  <c r="C165" i="5"/>
  <c r="D165" i="5"/>
  <c r="E165" i="5"/>
  <c r="F165" i="5"/>
  <c r="G165" i="5"/>
  <c r="H165" i="5"/>
  <c r="I165" i="5"/>
  <c r="J165" i="5"/>
  <c r="C171" i="5"/>
  <c r="D171" i="5"/>
  <c r="E171" i="5"/>
  <c r="F171" i="5"/>
  <c r="G171" i="5"/>
  <c r="H171" i="5"/>
  <c r="I171" i="5"/>
  <c r="J171" i="5"/>
  <c r="C172" i="5"/>
  <c r="D172" i="5"/>
  <c r="E172" i="5"/>
  <c r="F172" i="5"/>
  <c r="G172" i="5"/>
  <c r="H172" i="5"/>
  <c r="I172" i="5"/>
  <c r="J172" i="5"/>
  <c r="C178" i="5"/>
  <c r="D178" i="5"/>
  <c r="E178" i="5"/>
  <c r="F178" i="5"/>
  <c r="G178" i="5"/>
  <c r="H178" i="5"/>
  <c r="I178" i="5"/>
  <c r="J178" i="5"/>
  <c r="C179" i="5"/>
  <c r="D179" i="5"/>
  <c r="E179" i="5"/>
  <c r="F179" i="5"/>
  <c r="G179" i="5"/>
  <c r="H179" i="5"/>
  <c r="I179" i="5"/>
  <c r="J179" i="5"/>
  <c r="C185" i="5"/>
  <c r="D185" i="5"/>
  <c r="E185" i="5"/>
  <c r="F185" i="5"/>
  <c r="G185" i="5"/>
  <c r="H185" i="5"/>
  <c r="I185" i="5"/>
  <c r="J185" i="5"/>
  <c r="C186" i="5"/>
  <c r="D186" i="5"/>
  <c r="E186" i="5"/>
  <c r="F186" i="5"/>
  <c r="G186" i="5"/>
  <c r="H186" i="5"/>
  <c r="I186" i="5"/>
  <c r="J186" i="5"/>
  <c r="C192" i="5"/>
  <c r="D192" i="5"/>
  <c r="E192" i="5"/>
  <c r="F192" i="5"/>
  <c r="G192" i="5"/>
  <c r="H192" i="5"/>
  <c r="I192" i="5"/>
  <c r="J192" i="5"/>
  <c r="C193" i="5"/>
  <c r="D193" i="5"/>
  <c r="E193" i="5"/>
  <c r="F193" i="5"/>
  <c r="G193" i="5"/>
  <c r="H193" i="5"/>
  <c r="I193" i="5"/>
  <c r="J193" i="5"/>
  <c r="C199" i="5"/>
  <c r="D199" i="5"/>
  <c r="E199" i="5"/>
  <c r="F199" i="5"/>
  <c r="G199" i="5"/>
  <c r="H199" i="5"/>
  <c r="I199" i="5"/>
  <c r="J199" i="5"/>
  <c r="C200" i="5"/>
  <c r="D200" i="5"/>
  <c r="E200" i="5"/>
  <c r="F200" i="5"/>
  <c r="G200" i="5"/>
  <c r="H200" i="5"/>
  <c r="I200" i="5"/>
  <c r="J200" i="5"/>
  <c r="C206" i="5"/>
  <c r="D206" i="5"/>
  <c r="E206" i="5"/>
  <c r="F206" i="5"/>
  <c r="G206" i="5"/>
  <c r="H206" i="5"/>
  <c r="I206" i="5"/>
  <c r="J206" i="5"/>
  <c r="C207" i="5"/>
  <c r="D207" i="5"/>
  <c r="E207" i="5"/>
  <c r="F207" i="5"/>
  <c r="G207" i="5"/>
  <c r="H207" i="5"/>
  <c r="I207" i="5"/>
  <c r="J207" i="5"/>
  <c r="C11" i="5"/>
  <c r="D11" i="5"/>
  <c r="E11" i="5"/>
  <c r="F11" i="5"/>
  <c r="G11" i="5"/>
  <c r="H11" i="5"/>
  <c r="I11" i="5"/>
  <c r="D10" i="5"/>
  <c r="E10" i="5"/>
  <c r="F10" i="5"/>
  <c r="G10" i="5"/>
  <c r="H10" i="5"/>
  <c r="I10" i="5"/>
  <c r="J10" i="5"/>
  <c r="C10" i="5"/>
  <c r="C4" i="5"/>
  <c r="D4" i="5"/>
  <c r="E4" i="5"/>
  <c r="F4" i="5"/>
  <c r="G4" i="5"/>
  <c r="H4" i="5"/>
  <c r="I4" i="5"/>
  <c r="J4" i="5"/>
  <c r="D3" i="5"/>
  <c r="E3" i="5"/>
  <c r="F3" i="5"/>
  <c r="G3" i="5"/>
  <c r="H3" i="5"/>
  <c r="I3" i="5"/>
  <c r="J3" i="5"/>
  <c r="C3" i="5"/>
  <c r="C96" i="1"/>
  <c r="C97" i="1"/>
  <c r="C5" i="1"/>
  <c r="D92" i="1"/>
  <c r="E92" i="1"/>
  <c r="F92" i="1"/>
  <c r="G92" i="1"/>
  <c r="H92" i="1"/>
  <c r="I92" i="1"/>
  <c r="J92" i="1"/>
  <c r="C92" i="1"/>
  <c r="D89" i="1"/>
  <c r="E89" i="1"/>
  <c r="F89" i="1"/>
  <c r="G89" i="1"/>
  <c r="H89" i="1"/>
  <c r="I89" i="1"/>
  <c r="J89" i="1"/>
  <c r="C89" i="1"/>
  <c r="D86" i="1"/>
  <c r="E86" i="1"/>
  <c r="F86" i="1"/>
  <c r="G86" i="1"/>
  <c r="H86" i="1"/>
  <c r="I86" i="1"/>
  <c r="J86" i="1"/>
  <c r="C86" i="1"/>
  <c r="D83" i="1"/>
  <c r="E83" i="1"/>
  <c r="F83" i="1"/>
  <c r="G83" i="1"/>
  <c r="H83" i="1"/>
  <c r="I83" i="1"/>
  <c r="J83" i="1"/>
  <c r="C83" i="1"/>
  <c r="D80" i="1"/>
  <c r="E80" i="1"/>
  <c r="F80" i="1"/>
  <c r="G80" i="1"/>
  <c r="H80" i="1"/>
  <c r="I80" i="1"/>
  <c r="J80" i="1"/>
  <c r="C80" i="1"/>
  <c r="D77" i="1"/>
  <c r="E77" i="1"/>
  <c r="F77" i="1"/>
  <c r="G77" i="1"/>
  <c r="H77" i="1"/>
  <c r="I77" i="1"/>
  <c r="J77" i="1"/>
  <c r="C77" i="1"/>
  <c r="D74" i="1"/>
  <c r="E74" i="1"/>
  <c r="F74" i="1"/>
  <c r="G74" i="1"/>
  <c r="H74" i="1"/>
  <c r="I74" i="1"/>
  <c r="J74" i="1"/>
  <c r="C74" i="1"/>
  <c r="D71" i="1"/>
  <c r="E71" i="1"/>
  <c r="F71" i="1"/>
  <c r="G71" i="1"/>
  <c r="H71" i="1"/>
  <c r="I71" i="1"/>
  <c r="J71" i="1"/>
  <c r="C71" i="1"/>
  <c r="D68" i="1"/>
  <c r="E68" i="1"/>
  <c r="F68" i="1"/>
  <c r="G68" i="1"/>
  <c r="H68" i="1"/>
  <c r="I68" i="1"/>
  <c r="J68" i="1"/>
  <c r="C68" i="1"/>
  <c r="D65" i="1"/>
  <c r="E65" i="1"/>
  <c r="F65" i="1"/>
  <c r="G65" i="1"/>
  <c r="H65" i="1"/>
  <c r="I65" i="1"/>
  <c r="J65" i="1"/>
  <c r="C65" i="1"/>
  <c r="D62" i="1"/>
  <c r="E62" i="1"/>
  <c r="F62" i="1"/>
  <c r="G62" i="1"/>
  <c r="H62" i="1"/>
  <c r="I62" i="1"/>
  <c r="J62" i="1"/>
  <c r="C62" i="1"/>
  <c r="D59" i="1"/>
  <c r="E59" i="1"/>
  <c r="F59" i="1"/>
  <c r="G59" i="1"/>
  <c r="H59" i="1"/>
  <c r="I59" i="1"/>
  <c r="J59" i="1"/>
  <c r="C59" i="1"/>
  <c r="D56" i="1"/>
  <c r="E56" i="1"/>
  <c r="F56" i="1"/>
  <c r="G56" i="1"/>
  <c r="H56" i="1"/>
  <c r="I56" i="1"/>
  <c r="J56" i="1"/>
  <c r="C56" i="1"/>
  <c r="D53" i="1"/>
  <c r="E53" i="1"/>
  <c r="F53" i="1"/>
  <c r="G53" i="1"/>
  <c r="H53" i="1"/>
  <c r="I53" i="1"/>
  <c r="J53" i="1"/>
  <c r="C53" i="1"/>
  <c r="D50" i="1"/>
  <c r="E50" i="1"/>
  <c r="F50" i="1"/>
  <c r="G50" i="1"/>
  <c r="H50" i="1"/>
  <c r="I50" i="1"/>
  <c r="J50" i="1"/>
  <c r="C50" i="1"/>
  <c r="D47" i="1"/>
  <c r="E47" i="1"/>
  <c r="F47" i="1"/>
  <c r="G47" i="1"/>
  <c r="H47" i="1"/>
  <c r="I47" i="1"/>
  <c r="J47" i="1"/>
  <c r="C47" i="1"/>
  <c r="D44" i="1"/>
  <c r="E44" i="1"/>
  <c r="F44" i="1"/>
  <c r="G44" i="1"/>
  <c r="H44" i="1"/>
  <c r="I44" i="1"/>
  <c r="J44" i="1"/>
  <c r="C44" i="1"/>
  <c r="D41" i="1"/>
  <c r="E41" i="1"/>
  <c r="F41" i="1"/>
  <c r="G41" i="1"/>
  <c r="H41" i="1"/>
  <c r="I41" i="1"/>
  <c r="J41" i="1"/>
  <c r="C41" i="1"/>
  <c r="D38" i="1"/>
  <c r="E38" i="1"/>
  <c r="F38" i="1"/>
  <c r="G38" i="1"/>
  <c r="H38" i="1"/>
  <c r="I38" i="1"/>
  <c r="J38" i="1"/>
  <c r="C38" i="1"/>
  <c r="D35" i="1"/>
  <c r="E35" i="1"/>
  <c r="F35" i="1"/>
  <c r="G35" i="1"/>
  <c r="H35" i="1"/>
  <c r="I35" i="1"/>
  <c r="J35" i="1"/>
  <c r="C35" i="1"/>
  <c r="C32" i="1"/>
  <c r="D32" i="1"/>
  <c r="E32" i="1"/>
  <c r="F32" i="1"/>
  <c r="G32" i="1"/>
  <c r="H32" i="1"/>
  <c r="I32" i="1"/>
  <c r="J32" i="1"/>
  <c r="D29" i="1"/>
  <c r="E29" i="1"/>
  <c r="F29" i="1"/>
  <c r="G29" i="1"/>
  <c r="H29" i="1"/>
  <c r="I29" i="1"/>
  <c r="J29" i="1"/>
  <c r="C29" i="1"/>
  <c r="D26" i="1"/>
  <c r="E26" i="1"/>
  <c r="F26" i="1"/>
  <c r="G26" i="1"/>
  <c r="H26" i="1"/>
  <c r="I26" i="1"/>
  <c r="J26" i="1"/>
  <c r="C26" i="1"/>
  <c r="D23" i="1"/>
  <c r="E23" i="1"/>
  <c r="F23" i="1"/>
  <c r="G23" i="1"/>
  <c r="H23" i="1"/>
  <c r="I23" i="1"/>
  <c r="J23" i="1"/>
  <c r="C23" i="1"/>
  <c r="D20" i="1"/>
  <c r="E20" i="1"/>
  <c r="F20" i="1"/>
  <c r="G20" i="1"/>
  <c r="H20" i="1"/>
  <c r="I20" i="1"/>
  <c r="J20" i="1"/>
  <c r="C20" i="1"/>
  <c r="D17" i="1"/>
  <c r="E17" i="1"/>
  <c r="F17" i="1"/>
  <c r="G17" i="1"/>
  <c r="H17" i="1"/>
  <c r="I17" i="1"/>
  <c r="J17" i="1"/>
  <c r="C17" i="1"/>
  <c r="D14" i="1"/>
  <c r="E14" i="1"/>
  <c r="F14" i="1"/>
  <c r="G14" i="1"/>
  <c r="H14" i="1"/>
  <c r="I14" i="1"/>
  <c r="J14" i="1"/>
  <c r="C14" i="1"/>
  <c r="D11" i="1"/>
  <c r="E11" i="1"/>
  <c r="F11" i="1"/>
  <c r="G11" i="1"/>
  <c r="H11" i="1"/>
  <c r="I11" i="1"/>
  <c r="J11" i="1"/>
  <c r="C11" i="1"/>
  <c r="D8" i="1"/>
  <c r="E8" i="1"/>
  <c r="F8" i="1"/>
  <c r="G8" i="1"/>
  <c r="H8" i="1"/>
  <c r="I8" i="1"/>
  <c r="J8" i="1"/>
  <c r="C8" i="1"/>
  <c r="D5" i="1"/>
  <c r="E5" i="1"/>
  <c r="F5" i="1"/>
  <c r="G5" i="1"/>
  <c r="H5" i="1"/>
  <c r="I5" i="1"/>
  <c r="J5" i="1"/>
  <c r="F83" i="5" l="1"/>
  <c r="I201" i="5"/>
  <c r="E153" i="5"/>
  <c r="F110" i="5"/>
  <c r="J159" i="5"/>
  <c r="D69" i="5"/>
  <c r="J19" i="5"/>
  <c r="I159" i="5"/>
  <c r="G159" i="5"/>
  <c r="H173" i="5"/>
  <c r="C201" i="5"/>
  <c r="E110" i="5"/>
  <c r="H187" i="5"/>
  <c r="G167" i="5"/>
  <c r="D166" i="5"/>
  <c r="D153" i="5"/>
  <c r="J47" i="5"/>
  <c r="I34" i="5"/>
  <c r="C174" i="5"/>
  <c r="I132" i="5"/>
  <c r="G76" i="5"/>
  <c r="E75" i="5"/>
  <c r="C188" i="5"/>
  <c r="D180" i="5"/>
  <c r="C118" i="5"/>
  <c r="I82" i="5"/>
  <c r="H194" i="5"/>
  <c r="F145" i="5"/>
  <c r="I76" i="5"/>
  <c r="I19" i="5"/>
  <c r="D201" i="5"/>
  <c r="G194" i="5"/>
  <c r="C145" i="5"/>
  <c r="E132" i="5"/>
  <c r="I124" i="5"/>
  <c r="C124" i="5"/>
  <c r="C55" i="5"/>
  <c r="C34" i="5"/>
  <c r="F180" i="5"/>
  <c r="I195" i="5"/>
  <c r="J132" i="5"/>
  <c r="F40" i="5"/>
  <c r="C202" i="5"/>
  <c r="E111" i="5"/>
  <c r="G104" i="5"/>
  <c r="C181" i="5"/>
  <c r="G153" i="5"/>
  <c r="C82" i="5"/>
  <c r="J201" i="5"/>
  <c r="C187" i="5"/>
  <c r="J167" i="5"/>
  <c r="I166" i="5"/>
  <c r="C152" i="5"/>
  <c r="J117" i="5"/>
  <c r="E104" i="5"/>
  <c r="I97" i="5"/>
  <c r="D61" i="5"/>
  <c r="C40" i="5"/>
  <c r="C19" i="5"/>
  <c r="I209" i="5"/>
  <c r="G146" i="5"/>
  <c r="E209" i="5"/>
  <c r="F202" i="5"/>
  <c r="J194" i="5"/>
  <c r="C166" i="5"/>
  <c r="G166" i="5"/>
  <c r="H103" i="5"/>
  <c r="J82" i="5"/>
  <c r="G40" i="5"/>
  <c r="E34" i="5"/>
  <c r="I27" i="5"/>
  <c r="E96" i="5"/>
  <c r="H209" i="5"/>
  <c r="C208" i="5"/>
  <c r="G180" i="5"/>
  <c r="C160" i="5"/>
  <c r="G152" i="5"/>
  <c r="I96" i="5"/>
  <c r="G82" i="5"/>
  <c r="E76" i="5"/>
  <c r="E62" i="5"/>
  <c r="I47" i="5"/>
  <c r="E194" i="5"/>
  <c r="D117" i="5"/>
  <c r="D96" i="5"/>
  <c r="H82" i="5"/>
  <c r="I69" i="5"/>
  <c r="E68" i="5"/>
  <c r="D40" i="5"/>
  <c r="I33" i="5"/>
  <c r="I35" i="5" s="1"/>
  <c r="G19" i="5"/>
  <c r="E40" i="5"/>
  <c r="F209" i="5"/>
  <c r="E125" i="5"/>
  <c r="G110" i="5"/>
  <c r="F104" i="5"/>
  <c r="D76" i="5"/>
  <c r="F19" i="5"/>
  <c r="F188" i="5"/>
  <c r="G201" i="5"/>
  <c r="C167" i="5"/>
  <c r="E152" i="5"/>
  <c r="I117" i="5"/>
  <c r="J61" i="5"/>
  <c r="E19" i="5"/>
  <c r="D118" i="5"/>
  <c r="J202" i="5"/>
  <c r="F201" i="5"/>
  <c r="E188" i="5"/>
  <c r="I174" i="5"/>
  <c r="E173" i="5"/>
  <c r="E131" i="5"/>
  <c r="F111" i="5"/>
  <c r="J103" i="5"/>
  <c r="D82" i="5"/>
  <c r="I61" i="5"/>
  <c r="J34" i="5"/>
  <c r="D103" i="5"/>
  <c r="D34" i="5"/>
  <c r="G209" i="5"/>
  <c r="I202" i="5"/>
  <c r="E201" i="5"/>
  <c r="J188" i="5"/>
  <c r="D173" i="5"/>
  <c r="J146" i="5"/>
  <c r="H132" i="5"/>
  <c r="F131" i="5"/>
  <c r="H75" i="5"/>
  <c r="H61" i="5"/>
  <c r="H48" i="5"/>
  <c r="C47" i="5"/>
  <c r="D19" i="5"/>
  <c r="E208" i="5"/>
  <c r="J208" i="5"/>
  <c r="D195" i="5"/>
  <c r="I103" i="5"/>
  <c r="C61" i="5"/>
  <c r="G61" i="5"/>
  <c r="J40" i="5"/>
  <c r="F76" i="5"/>
  <c r="I208" i="5"/>
  <c r="C195" i="5"/>
  <c r="I180" i="5"/>
  <c r="H160" i="5"/>
  <c r="D159" i="5"/>
  <c r="H124" i="5"/>
  <c r="I111" i="5"/>
  <c r="C103" i="5"/>
  <c r="G103" i="5"/>
  <c r="I90" i="5"/>
  <c r="E89" i="5"/>
  <c r="G83" i="5"/>
  <c r="J76" i="5"/>
  <c r="F61" i="5"/>
  <c r="I40" i="5"/>
  <c r="G34" i="5"/>
  <c r="G33" i="5"/>
  <c r="D187" i="5"/>
  <c r="H166" i="5"/>
  <c r="C153" i="5"/>
  <c r="G124" i="5"/>
  <c r="F118" i="5"/>
  <c r="J111" i="5"/>
  <c r="H90" i="5"/>
  <c r="I62" i="5"/>
  <c r="E61" i="5"/>
  <c r="H40" i="5"/>
  <c r="F34" i="5"/>
  <c r="D55" i="5"/>
  <c r="H181" i="5"/>
  <c r="G139" i="5"/>
  <c r="I55" i="5"/>
  <c r="E54" i="5"/>
  <c r="H55" i="5"/>
  <c r="E181" i="5"/>
  <c r="F96" i="5"/>
  <c r="J55" i="5"/>
  <c r="F181" i="5"/>
  <c r="G55" i="5"/>
  <c r="D181" i="5"/>
  <c r="F55" i="5"/>
  <c r="E97" i="5"/>
  <c r="E55" i="5"/>
  <c r="E202" i="5"/>
  <c r="J180" i="5"/>
  <c r="J195" i="5"/>
  <c r="C194" i="5"/>
  <c r="E180" i="5"/>
  <c r="H180" i="5"/>
  <c r="D174" i="5"/>
  <c r="H167" i="5"/>
  <c r="J160" i="5"/>
  <c r="F159" i="5"/>
  <c r="G145" i="5"/>
  <c r="J118" i="5"/>
  <c r="F117" i="5"/>
  <c r="H96" i="5"/>
  <c r="G75" i="5"/>
  <c r="J75" i="5"/>
  <c r="C75" i="5"/>
  <c r="F69" i="5"/>
  <c r="C62" i="5"/>
  <c r="I48" i="5"/>
  <c r="D48" i="5"/>
  <c r="E47" i="5"/>
  <c r="G47" i="5"/>
  <c r="E41" i="5"/>
  <c r="G41" i="5"/>
  <c r="H195" i="5"/>
  <c r="D188" i="5"/>
  <c r="J173" i="5"/>
  <c r="F167" i="5"/>
  <c r="I146" i="5"/>
  <c r="E145" i="5"/>
  <c r="F139" i="5"/>
  <c r="G132" i="5"/>
  <c r="C132" i="5"/>
  <c r="J97" i="5"/>
  <c r="H54" i="5"/>
  <c r="C41" i="5"/>
  <c r="H27" i="5"/>
  <c r="C26" i="5"/>
  <c r="C20" i="5"/>
  <c r="E26" i="5"/>
  <c r="F26" i="5"/>
  <c r="G26" i="5"/>
  <c r="D209" i="5"/>
  <c r="H201" i="5"/>
  <c r="J181" i="5"/>
  <c r="C209" i="5"/>
  <c r="G195" i="5"/>
  <c r="D194" i="5"/>
  <c r="I187" i="5"/>
  <c r="F173" i="5"/>
  <c r="I173" i="5"/>
  <c r="E167" i="5"/>
  <c r="D167" i="5"/>
  <c r="I160" i="5"/>
  <c r="G160" i="5"/>
  <c r="C159" i="5"/>
  <c r="I139" i="5"/>
  <c r="E139" i="5"/>
  <c r="D132" i="5"/>
  <c r="J131" i="5"/>
  <c r="J125" i="5"/>
  <c r="F124" i="5"/>
  <c r="G118" i="5"/>
  <c r="G117" i="5"/>
  <c r="C117" i="5"/>
  <c r="F90" i="5"/>
  <c r="G69" i="5"/>
  <c r="F48" i="5"/>
  <c r="H33" i="5"/>
  <c r="C89" i="5"/>
  <c r="D89" i="5"/>
  <c r="H89" i="5"/>
  <c r="I54" i="5"/>
  <c r="D54" i="5"/>
  <c r="E20" i="5"/>
  <c r="F20" i="5"/>
  <c r="G20" i="5"/>
  <c r="E195" i="5"/>
  <c r="I181" i="5"/>
  <c r="F160" i="5"/>
  <c r="H153" i="5"/>
  <c r="D152" i="5"/>
  <c r="H152" i="5"/>
  <c r="D145" i="5"/>
  <c r="H139" i="5"/>
  <c r="G131" i="5"/>
  <c r="I125" i="5"/>
  <c r="E124" i="5"/>
  <c r="G111" i="5"/>
  <c r="C111" i="5"/>
  <c r="J90" i="5"/>
  <c r="J68" i="5"/>
  <c r="F54" i="5"/>
  <c r="E33" i="5"/>
  <c r="F27" i="5"/>
  <c r="J187" i="5"/>
  <c r="F195" i="5"/>
  <c r="F187" i="5"/>
  <c r="G181" i="5"/>
  <c r="C180" i="5"/>
  <c r="C173" i="5"/>
  <c r="J166" i="5"/>
  <c r="D160" i="5"/>
  <c r="E160" i="5"/>
  <c r="J153" i="5"/>
  <c r="C139" i="5"/>
  <c r="D139" i="5"/>
  <c r="I118" i="5"/>
  <c r="E118" i="5"/>
  <c r="D111" i="5"/>
  <c r="J110" i="5"/>
  <c r="J104" i="5"/>
  <c r="F103" i="5"/>
  <c r="G97" i="5"/>
  <c r="G96" i="5"/>
  <c r="C96" i="5"/>
  <c r="J83" i="5"/>
  <c r="F82" i="5"/>
  <c r="H76" i="5"/>
  <c r="I68" i="5"/>
  <c r="F33" i="5"/>
  <c r="G138" i="5"/>
  <c r="C138" i="5"/>
  <c r="G173" i="5"/>
  <c r="I131" i="5"/>
  <c r="H208" i="5"/>
  <c r="H202" i="5"/>
  <c r="I153" i="5"/>
  <c r="F153" i="5"/>
  <c r="J138" i="5"/>
  <c r="D124" i="5"/>
  <c r="H118" i="5"/>
  <c r="I110" i="5"/>
  <c r="I104" i="5"/>
  <c r="E103" i="5"/>
  <c r="F97" i="5"/>
  <c r="E90" i="5"/>
  <c r="G90" i="5"/>
  <c r="C90" i="5"/>
  <c r="I83" i="5"/>
  <c r="E82" i="5"/>
  <c r="C76" i="5"/>
  <c r="I75" i="5"/>
  <c r="E69" i="5"/>
  <c r="J62" i="5"/>
  <c r="G48" i="5"/>
  <c r="G208" i="5"/>
  <c r="G202" i="5"/>
  <c r="G187" i="5"/>
  <c r="F146" i="5"/>
  <c r="D146" i="5"/>
  <c r="H146" i="5"/>
  <c r="I138" i="5"/>
  <c r="D90" i="5"/>
  <c r="J89" i="5"/>
  <c r="G54" i="5"/>
  <c r="G27" i="5"/>
  <c r="F208" i="5"/>
  <c r="J174" i="5"/>
  <c r="H174" i="5"/>
  <c r="E146" i="5"/>
  <c r="E138" i="5"/>
  <c r="H138" i="5"/>
  <c r="H97" i="5"/>
  <c r="G89" i="5"/>
  <c r="I89" i="5"/>
  <c r="D75" i="5"/>
  <c r="J41" i="5"/>
  <c r="J26" i="5"/>
  <c r="J20" i="5"/>
  <c r="I188" i="5"/>
  <c r="F166" i="5"/>
  <c r="C146" i="5"/>
  <c r="J145" i="5"/>
  <c r="D138" i="5"/>
  <c r="C131" i="5"/>
  <c r="D131" i="5"/>
  <c r="H131" i="5"/>
  <c r="G125" i="5"/>
  <c r="C125" i="5"/>
  <c r="D125" i="5"/>
  <c r="H125" i="5"/>
  <c r="C97" i="5"/>
  <c r="D97" i="5"/>
  <c r="F89" i="5"/>
  <c r="F75" i="5"/>
  <c r="I41" i="5"/>
  <c r="I26" i="5"/>
  <c r="I20" i="5"/>
  <c r="E187" i="5"/>
  <c r="D208" i="5"/>
  <c r="D202" i="5"/>
  <c r="F194" i="5"/>
  <c r="I194" i="5"/>
  <c r="H188" i="5"/>
  <c r="G174" i="5"/>
  <c r="F174" i="5"/>
  <c r="I167" i="5"/>
  <c r="E166" i="5"/>
  <c r="E159" i="5"/>
  <c r="H159" i="5"/>
  <c r="J152" i="5"/>
  <c r="I145" i="5"/>
  <c r="J139" i="5"/>
  <c r="F138" i="5"/>
  <c r="F125" i="5"/>
  <c r="E117" i="5"/>
  <c r="H117" i="5"/>
  <c r="J96" i="5"/>
  <c r="E83" i="5"/>
  <c r="H69" i="5"/>
  <c r="C68" i="5"/>
  <c r="D68" i="5"/>
  <c r="F68" i="5"/>
  <c r="G68" i="5"/>
  <c r="H68" i="5"/>
  <c r="E48" i="5"/>
  <c r="J209" i="5"/>
  <c r="G188" i="5"/>
  <c r="E174" i="5"/>
  <c r="F152" i="5"/>
  <c r="I152" i="5"/>
  <c r="H145" i="5"/>
  <c r="F132" i="5"/>
  <c r="J124" i="5"/>
  <c r="H111" i="5"/>
  <c r="C110" i="5"/>
  <c r="D110" i="5"/>
  <c r="H110" i="5"/>
  <c r="C104" i="5"/>
  <c r="D104" i="5"/>
  <c r="H104" i="5"/>
  <c r="C83" i="5"/>
  <c r="D83" i="5"/>
  <c r="H83" i="5"/>
  <c r="E27" i="5"/>
  <c r="H34" i="5"/>
  <c r="D33" i="5"/>
  <c r="D27" i="5"/>
  <c r="H19" i="5"/>
  <c r="C69" i="5"/>
  <c r="C54" i="5"/>
  <c r="C48" i="5"/>
  <c r="C33" i="5"/>
  <c r="C27" i="5"/>
  <c r="H62" i="5"/>
  <c r="H47" i="5"/>
  <c r="H41" i="5"/>
  <c r="H26" i="5"/>
  <c r="H20" i="5"/>
  <c r="G62" i="5"/>
  <c r="J69" i="5"/>
  <c r="F62" i="5"/>
  <c r="J54" i="5"/>
  <c r="J48" i="5"/>
  <c r="F47" i="5"/>
  <c r="F41" i="5"/>
  <c r="J33" i="5"/>
  <c r="J27" i="5"/>
  <c r="D62" i="5"/>
  <c r="D47" i="5"/>
  <c r="D41" i="5"/>
  <c r="D26" i="5"/>
  <c r="D20" i="5"/>
  <c r="G6" i="5"/>
  <c r="I13" i="5"/>
  <c r="H12" i="5"/>
  <c r="J6" i="5"/>
  <c r="C5" i="5"/>
  <c r="D13" i="5"/>
  <c r="C6" i="5"/>
  <c r="F12" i="5"/>
  <c r="F6" i="5"/>
  <c r="G12" i="5"/>
  <c r="E6" i="5"/>
  <c r="H6" i="5"/>
  <c r="C12" i="5"/>
  <c r="D5" i="5"/>
  <c r="F13" i="5"/>
  <c r="F5" i="5"/>
  <c r="J13" i="5"/>
  <c r="C13" i="5"/>
  <c r="E13" i="5"/>
  <c r="J12" i="5"/>
  <c r="D6" i="5"/>
  <c r="H5" i="5"/>
  <c r="G5" i="5"/>
  <c r="H13" i="5"/>
  <c r="G13" i="5"/>
  <c r="I12" i="5"/>
  <c r="E12" i="5"/>
  <c r="D12" i="5"/>
  <c r="I6" i="5"/>
  <c r="E5" i="5"/>
  <c r="I5" i="5"/>
  <c r="J5" i="5"/>
  <c r="J95" i="1"/>
  <c r="J97" i="1" s="1"/>
  <c r="I95" i="1"/>
  <c r="I97" i="1" s="1"/>
  <c r="C95" i="1"/>
  <c r="G95" i="1"/>
  <c r="G97" i="1" s="1"/>
  <c r="F95" i="1"/>
  <c r="F97" i="1" s="1"/>
  <c r="E95" i="1"/>
  <c r="E97" i="1" s="1"/>
  <c r="D95" i="1"/>
  <c r="D97" i="1" s="1"/>
  <c r="H95" i="1"/>
  <c r="H97" i="1" s="1"/>
  <c r="J21" i="5" l="1"/>
  <c r="D28" i="5"/>
  <c r="H63" i="5"/>
  <c r="E196" i="5"/>
  <c r="I91" i="5"/>
  <c r="J119" i="5"/>
  <c r="F42" i="5"/>
  <c r="D70" i="5"/>
  <c r="J105" i="5"/>
  <c r="H133" i="5"/>
  <c r="J126" i="5"/>
  <c r="I70" i="5"/>
  <c r="J189" i="5"/>
  <c r="D196" i="5"/>
  <c r="H196" i="5"/>
  <c r="G63" i="5"/>
  <c r="H28" i="5"/>
  <c r="J35" i="5"/>
  <c r="F112" i="5"/>
  <c r="C203" i="5"/>
  <c r="H105" i="5"/>
  <c r="G161" i="5"/>
  <c r="C147" i="5"/>
  <c r="E63" i="5"/>
  <c r="E21" i="5"/>
  <c r="F210" i="5"/>
  <c r="J56" i="5"/>
  <c r="C35" i="5"/>
  <c r="C189" i="5"/>
  <c r="E203" i="5"/>
  <c r="C210" i="5"/>
  <c r="H49" i="5"/>
  <c r="I42" i="5"/>
  <c r="J161" i="5"/>
  <c r="F203" i="5"/>
  <c r="H168" i="5"/>
  <c r="F182" i="5"/>
  <c r="F21" i="5"/>
  <c r="J210" i="5"/>
  <c r="H126" i="5"/>
  <c r="E175" i="5"/>
  <c r="F189" i="5"/>
  <c r="J168" i="5"/>
  <c r="D168" i="5"/>
  <c r="G182" i="5"/>
  <c r="I175" i="5"/>
  <c r="E154" i="5"/>
  <c r="H84" i="5"/>
  <c r="E210" i="5"/>
  <c r="I203" i="5"/>
  <c r="C119" i="5"/>
  <c r="C49" i="5"/>
  <c r="I126" i="5"/>
  <c r="C21" i="5"/>
  <c r="I98" i="5"/>
  <c r="D21" i="5"/>
  <c r="C126" i="5"/>
  <c r="C84" i="5"/>
  <c r="D35" i="5"/>
  <c r="F84" i="5"/>
  <c r="H42" i="5"/>
  <c r="I28" i="5"/>
  <c r="D161" i="5"/>
  <c r="G35" i="5"/>
  <c r="H210" i="5"/>
  <c r="I161" i="5"/>
  <c r="I49" i="5"/>
  <c r="D98" i="5"/>
  <c r="H175" i="5"/>
  <c r="C182" i="5"/>
  <c r="F63" i="5"/>
  <c r="C56" i="5"/>
  <c r="D77" i="5"/>
  <c r="G105" i="5"/>
  <c r="E189" i="5"/>
  <c r="C42" i="5"/>
  <c r="F49" i="5"/>
  <c r="E35" i="5"/>
  <c r="C168" i="5"/>
  <c r="C154" i="5"/>
  <c r="I182" i="5"/>
  <c r="C105" i="5"/>
  <c r="I196" i="5"/>
  <c r="F147" i="5"/>
  <c r="D182" i="5"/>
  <c r="E98" i="5"/>
  <c r="F105" i="5"/>
  <c r="G112" i="5"/>
  <c r="D119" i="5"/>
  <c r="H161" i="5"/>
  <c r="I210" i="5"/>
  <c r="E161" i="5"/>
  <c r="J133" i="5"/>
  <c r="E112" i="5"/>
  <c r="I77" i="5"/>
  <c r="G210" i="5"/>
  <c r="I168" i="5"/>
  <c r="J147" i="5"/>
  <c r="D133" i="5"/>
  <c r="I105" i="5"/>
  <c r="D56" i="5"/>
  <c r="D63" i="5"/>
  <c r="G56" i="5"/>
  <c r="I112" i="5"/>
  <c r="F35" i="5"/>
  <c r="I56" i="5"/>
  <c r="D189" i="5"/>
  <c r="G77" i="5"/>
  <c r="J196" i="5"/>
  <c r="J203" i="5"/>
  <c r="E70" i="5"/>
  <c r="E133" i="5"/>
  <c r="D154" i="5"/>
  <c r="I63" i="5"/>
  <c r="E77" i="5"/>
  <c r="G147" i="5"/>
  <c r="J49" i="5"/>
  <c r="D105" i="5"/>
  <c r="H189" i="5"/>
  <c r="E140" i="5"/>
  <c r="I84" i="5"/>
  <c r="C161" i="5"/>
  <c r="G168" i="5"/>
  <c r="D175" i="5"/>
  <c r="G203" i="5"/>
  <c r="H182" i="5"/>
  <c r="G84" i="5"/>
  <c r="J98" i="5"/>
  <c r="G42" i="5"/>
  <c r="D203" i="5"/>
  <c r="I133" i="5"/>
  <c r="C175" i="5"/>
  <c r="C112" i="5"/>
  <c r="G70" i="5"/>
  <c r="D210" i="5"/>
  <c r="E126" i="5"/>
  <c r="G154" i="5"/>
  <c r="D49" i="5"/>
  <c r="E105" i="5"/>
  <c r="J77" i="5"/>
  <c r="C196" i="5"/>
  <c r="J63" i="5"/>
  <c r="G91" i="5"/>
  <c r="J91" i="5"/>
  <c r="I119" i="5"/>
  <c r="F77" i="5"/>
  <c r="H154" i="5"/>
  <c r="G196" i="5"/>
  <c r="H119" i="5"/>
  <c r="H140" i="5"/>
  <c r="H77" i="5"/>
  <c r="H91" i="5"/>
  <c r="I140" i="5"/>
  <c r="J84" i="5"/>
  <c r="F56" i="5"/>
  <c r="F119" i="5"/>
  <c r="E42" i="5"/>
  <c r="D42" i="5"/>
  <c r="G126" i="5"/>
  <c r="J42" i="5"/>
  <c r="E91" i="5"/>
  <c r="G21" i="5"/>
  <c r="F133" i="5"/>
  <c r="C140" i="5"/>
  <c r="J112" i="5"/>
  <c r="C63" i="5"/>
  <c r="D84" i="5"/>
  <c r="G140" i="5"/>
  <c r="F196" i="5"/>
  <c r="D112" i="5"/>
  <c r="I147" i="5"/>
  <c r="H56" i="5"/>
  <c r="E182" i="5"/>
  <c r="E119" i="5"/>
  <c r="E49" i="5"/>
  <c r="F161" i="5"/>
  <c r="E168" i="5"/>
  <c r="F98" i="5"/>
  <c r="H70" i="5"/>
  <c r="J28" i="5"/>
  <c r="D126" i="5"/>
  <c r="F126" i="5"/>
  <c r="F175" i="5"/>
  <c r="C28" i="5"/>
  <c r="C77" i="5"/>
  <c r="D91" i="5"/>
  <c r="E56" i="5"/>
  <c r="C91" i="5"/>
  <c r="D140" i="5"/>
  <c r="F91" i="5"/>
  <c r="H203" i="5"/>
  <c r="G49" i="5"/>
  <c r="H35" i="5"/>
  <c r="F70" i="5"/>
  <c r="J154" i="5"/>
  <c r="J175" i="5"/>
  <c r="C70" i="5"/>
  <c r="I21" i="5"/>
  <c r="C98" i="5"/>
  <c r="H21" i="5"/>
  <c r="H147" i="5"/>
  <c r="G175" i="5"/>
  <c r="G98" i="5"/>
  <c r="G28" i="5"/>
  <c r="H98" i="5"/>
  <c r="J182" i="5"/>
  <c r="G133" i="5"/>
  <c r="F28" i="5"/>
  <c r="I154" i="5"/>
  <c r="F154" i="5"/>
  <c r="C133" i="5"/>
  <c r="G119" i="5"/>
  <c r="E28" i="5"/>
  <c r="J70" i="5"/>
  <c r="D147" i="5"/>
  <c r="I189" i="5"/>
  <c r="H112" i="5"/>
  <c r="F140" i="5"/>
  <c r="F168" i="5"/>
  <c r="J140" i="5"/>
  <c r="E147" i="5"/>
  <c r="G189" i="5"/>
  <c r="E84" i="5"/>
  <c r="E7" i="5"/>
  <c r="G7" i="5"/>
  <c r="I14" i="5"/>
  <c r="H7" i="5"/>
  <c r="D7" i="5"/>
  <c r="C7" i="5"/>
  <c r="D14" i="5"/>
  <c r="H14" i="5"/>
  <c r="F7" i="5"/>
  <c r="F14" i="5"/>
  <c r="G14" i="5"/>
  <c r="E14" i="5"/>
  <c r="J14" i="5"/>
  <c r="C14" i="5"/>
  <c r="I7" i="5"/>
  <c r="J7" i="5"/>
  <c r="G96" i="1"/>
  <c r="J96" i="1"/>
  <c r="I96" i="1"/>
  <c r="H96" i="1"/>
  <c r="F96" i="1"/>
  <c r="E96" i="1"/>
  <c r="D96" i="1"/>
  <c r="J64" i="5" l="1"/>
  <c r="C197" i="5"/>
  <c r="C198" i="5" s="1"/>
  <c r="F64" i="5"/>
  <c r="H36" i="5"/>
  <c r="C106" i="5"/>
  <c r="C107" i="5" s="1"/>
  <c r="I64" i="5"/>
  <c r="C64" i="5"/>
  <c r="C65" i="5" s="1"/>
  <c r="E162" i="5"/>
  <c r="C204" i="5"/>
  <c r="C205" i="5" s="1"/>
  <c r="D197" i="5"/>
  <c r="F99" i="5"/>
  <c r="G127" i="5"/>
  <c r="F197" i="5"/>
  <c r="E64" i="5"/>
  <c r="C57" i="5"/>
  <c r="C58" i="5" s="1"/>
  <c r="G197" i="5"/>
  <c r="G106" i="5"/>
  <c r="G107" i="5" s="1"/>
  <c r="J211" i="5"/>
  <c r="H211" i="5"/>
  <c r="C162" i="5"/>
  <c r="C163" i="5" s="1"/>
  <c r="G204" i="5"/>
  <c r="G205" i="5" s="1"/>
  <c r="E204" i="5"/>
  <c r="G64" i="5"/>
  <c r="J162" i="5"/>
  <c r="G190" i="5"/>
  <c r="G120" i="5"/>
  <c r="H162" i="5"/>
  <c r="D162" i="5"/>
  <c r="D64" i="5"/>
  <c r="F162" i="5"/>
  <c r="F106" i="5"/>
  <c r="H106" i="5"/>
  <c r="I106" i="5"/>
  <c r="G162" i="5"/>
  <c r="E43" i="5"/>
  <c r="D211" i="5"/>
  <c r="I204" i="5"/>
  <c r="I162" i="5"/>
  <c r="H64" i="5"/>
  <c r="D127" i="5"/>
  <c r="F204" i="5"/>
  <c r="J197" i="5"/>
  <c r="J106" i="5"/>
  <c r="E197" i="5"/>
  <c r="H204" i="5"/>
  <c r="H205" i="5" s="1"/>
  <c r="J204" i="5"/>
  <c r="D106" i="5"/>
  <c r="E106" i="5"/>
  <c r="I78" i="5"/>
  <c r="C43" i="5"/>
  <c r="C44" i="5" s="1"/>
  <c r="I127" i="5"/>
  <c r="F57" i="5"/>
  <c r="F211" i="5"/>
  <c r="D78" i="5"/>
  <c r="I211" i="5"/>
  <c r="G211" i="5"/>
  <c r="I197" i="5"/>
  <c r="E211" i="5"/>
  <c r="J183" i="5"/>
  <c r="H197" i="5"/>
  <c r="C211" i="5"/>
  <c r="C212" i="5" s="1"/>
  <c r="G57" i="5"/>
  <c r="J43" i="5"/>
  <c r="D204" i="5"/>
  <c r="H127" i="5"/>
  <c r="F127" i="5"/>
  <c r="I43" i="5"/>
  <c r="H43" i="5"/>
  <c r="I120" i="5"/>
  <c r="J127" i="5"/>
  <c r="F134" i="5"/>
  <c r="D43" i="5"/>
  <c r="G43" i="5"/>
  <c r="E127" i="5"/>
  <c r="D155" i="5"/>
  <c r="C127" i="5"/>
  <c r="C128" i="5" s="1"/>
  <c r="F92" i="5"/>
  <c r="J57" i="5"/>
  <c r="F43" i="5"/>
  <c r="H113" i="5"/>
  <c r="G176" i="5"/>
  <c r="H92" i="5"/>
  <c r="H57" i="5"/>
  <c r="E85" i="5"/>
  <c r="E71" i="5"/>
  <c r="F78" i="5"/>
  <c r="F120" i="5"/>
  <c r="J78" i="5"/>
  <c r="F169" i="5"/>
  <c r="H22" i="5"/>
  <c r="G50" i="5"/>
  <c r="H78" i="5"/>
  <c r="G78" i="5"/>
  <c r="C78" i="5"/>
  <c r="C79" i="5" s="1"/>
  <c r="E78" i="5"/>
  <c r="D134" i="5"/>
  <c r="E92" i="5"/>
  <c r="H29" i="5"/>
  <c r="D57" i="5"/>
  <c r="E57" i="5"/>
  <c r="F141" i="5"/>
  <c r="D92" i="5"/>
  <c r="H50" i="5"/>
  <c r="J50" i="5"/>
  <c r="C50" i="5"/>
  <c r="C51" i="5" s="1"/>
  <c r="E50" i="5"/>
  <c r="I71" i="5"/>
  <c r="G92" i="5"/>
  <c r="D50" i="5"/>
  <c r="I99" i="5"/>
  <c r="I92" i="5"/>
  <c r="I57" i="5"/>
  <c r="I50" i="5"/>
  <c r="F148" i="5"/>
  <c r="C92" i="5"/>
  <c r="C93" i="5" s="1"/>
  <c r="F50" i="5"/>
  <c r="D183" i="5"/>
  <c r="C120" i="5"/>
  <c r="C121" i="5" s="1"/>
  <c r="J92" i="5"/>
  <c r="D113" i="5"/>
  <c r="D120" i="5"/>
  <c r="J134" i="5"/>
  <c r="H183" i="5"/>
  <c r="F183" i="5"/>
  <c r="C183" i="5"/>
  <c r="C184" i="5" s="1"/>
  <c r="I155" i="5"/>
  <c r="F155" i="5"/>
  <c r="J148" i="5"/>
  <c r="H148" i="5"/>
  <c r="G99" i="5"/>
  <c r="J71" i="5"/>
  <c r="G71" i="5"/>
  <c r="E36" i="5"/>
  <c r="F36" i="5"/>
  <c r="F29" i="5"/>
  <c r="E22" i="5"/>
  <c r="C22" i="5"/>
  <c r="C23" i="5" s="1"/>
  <c r="F22" i="5"/>
  <c r="J22" i="5"/>
  <c r="H71" i="5"/>
  <c r="F190" i="5"/>
  <c r="J113" i="5"/>
  <c r="G148" i="5"/>
  <c r="I22" i="5"/>
  <c r="H169" i="5"/>
  <c r="E176" i="5"/>
  <c r="J29" i="5"/>
  <c r="E113" i="5"/>
  <c r="C176" i="5"/>
  <c r="C177" i="5" s="1"/>
  <c r="H134" i="5"/>
  <c r="C169" i="5"/>
  <c r="C170" i="5" s="1"/>
  <c r="J176" i="5"/>
  <c r="I36" i="5"/>
  <c r="G22" i="5"/>
  <c r="D36" i="5"/>
  <c r="D29" i="5"/>
  <c r="J85" i="5"/>
  <c r="I176" i="5"/>
  <c r="G134" i="5"/>
  <c r="E169" i="5"/>
  <c r="C113" i="5"/>
  <c r="C114" i="5" s="1"/>
  <c r="G36" i="5"/>
  <c r="J36" i="5"/>
  <c r="E141" i="5"/>
  <c r="G169" i="5"/>
  <c r="J169" i="5"/>
  <c r="I29" i="5"/>
  <c r="F85" i="5"/>
  <c r="D169" i="5"/>
  <c r="C190" i="5"/>
  <c r="C191" i="5" s="1"/>
  <c r="G141" i="5"/>
  <c r="J190" i="5"/>
  <c r="E148" i="5"/>
  <c r="E155" i="5"/>
  <c r="H155" i="5"/>
  <c r="D190" i="5"/>
  <c r="D148" i="5"/>
  <c r="C141" i="5"/>
  <c r="C142" i="5" s="1"/>
  <c r="C36" i="5"/>
  <c r="C37" i="5" s="1"/>
  <c r="H120" i="5"/>
  <c r="E120" i="5"/>
  <c r="C155" i="5"/>
  <c r="C156" i="5" s="1"/>
  <c r="G183" i="5"/>
  <c r="D85" i="5"/>
  <c r="I141" i="5"/>
  <c r="F113" i="5"/>
  <c r="C71" i="5"/>
  <c r="C72" i="5" s="1"/>
  <c r="D141" i="5"/>
  <c r="I85" i="5"/>
  <c r="H85" i="5"/>
  <c r="D71" i="5"/>
  <c r="E190" i="5"/>
  <c r="I183" i="5"/>
  <c r="H190" i="5"/>
  <c r="C29" i="5"/>
  <c r="J155" i="5"/>
  <c r="C148" i="5"/>
  <c r="C149" i="5" s="1"/>
  <c r="J141" i="5"/>
  <c r="F71" i="5"/>
  <c r="D22" i="5"/>
  <c r="I190" i="5"/>
  <c r="F176" i="5"/>
  <c r="I113" i="5"/>
  <c r="C134" i="5"/>
  <c r="C135" i="5" s="1"/>
  <c r="E134" i="5"/>
  <c r="G155" i="5"/>
  <c r="I148" i="5"/>
  <c r="G113" i="5"/>
  <c r="H141" i="5"/>
  <c r="J120" i="5"/>
  <c r="J99" i="5"/>
  <c r="H99" i="5"/>
  <c r="C99" i="5"/>
  <c r="C100" i="5" s="1"/>
  <c r="E99" i="5"/>
  <c r="I169" i="5"/>
  <c r="H176" i="5"/>
  <c r="D176" i="5"/>
  <c r="D99" i="5"/>
  <c r="G85" i="5"/>
  <c r="E29" i="5"/>
  <c r="G29" i="5"/>
  <c r="I134" i="5"/>
  <c r="E183" i="5"/>
  <c r="C85" i="5"/>
  <c r="C86" i="5" s="1"/>
  <c r="I15" i="5"/>
  <c r="E15" i="5"/>
  <c r="G15" i="5"/>
  <c r="H15" i="5"/>
  <c r="D15" i="5"/>
  <c r="F15" i="5"/>
  <c r="J15" i="5"/>
  <c r="C15" i="5"/>
  <c r="C16" i="5" s="1"/>
  <c r="I8" i="5"/>
  <c r="F8" i="5"/>
  <c r="E8" i="5"/>
  <c r="J8" i="5"/>
  <c r="G8" i="5"/>
  <c r="D8" i="5"/>
  <c r="H8" i="5"/>
  <c r="C8" i="5"/>
  <c r="C9" i="5" s="1"/>
  <c r="E205" i="5" l="1"/>
  <c r="J205" i="5"/>
  <c r="D65" i="5"/>
  <c r="F205" i="5"/>
  <c r="I205" i="5"/>
  <c r="H198" i="5"/>
  <c r="F198" i="5"/>
  <c r="G44" i="5"/>
  <c r="J198" i="5"/>
  <c r="J23" i="5"/>
  <c r="J65" i="5"/>
  <c r="D205" i="5"/>
  <c r="D212" i="5"/>
  <c r="I198" i="5"/>
  <c r="E198" i="5"/>
  <c r="H107" i="5"/>
  <c r="E163" i="5"/>
  <c r="D198" i="5"/>
  <c r="J107" i="5"/>
  <c r="F107" i="5"/>
  <c r="F58" i="5"/>
  <c r="G198" i="5"/>
  <c r="J44" i="5"/>
  <c r="I44" i="5"/>
  <c r="F163" i="5"/>
  <c r="I65" i="5"/>
  <c r="G212" i="5"/>
  <c r="J9" i="5"/>
  <c r="D44" i="5"/>
  <c r="E65" i="5"/>
  <c r="I9" i="5"/>
  <c r="F65" i="5"/>
  <c r="G9" i="5"/>
  <c r="D163" i="5"/>
  <c r="H58" i="5"/>
  <c r="I58" i="5"/>
  <c r="E107" i="5"/>
  <c r="D107" i="5"/>
  <c r="E44" i="5"/>
  <c r="G65" i="5"/>
  <c r="J163" i="5"/>
  <c r="H65" i="5"/>
  <c r="F44" i="5"/>
  <c r="G163" i="5"/>
  <c r="H163" i="5"/>
  <c r="E9" i="5"/>
  <c r="G58" i="5"/>
  <c r="I107" i="5"/>
  <c r="F23" i="5"/>
  <c r="E58" i="5"/>
  <c r="D58" i="5"/>
  <c r="J58" i="5"/>
  <c r="I212" i="5"/>
  <c r="I37" i="5"/>
  <c r="H9" i="5"/>
  <c r="D9" i="5"/>
  <c r="J37" i="5"/>
  <c r="F212" i="5"/>
  <c r="F9" i="5"/>
  <c r="J93" i="5"/>
  <c r="J121" i="5"/>
  <c r="I163" i="5"/>
  <c r="J212" i="5"/>
  <c r="E23" i="5"/>
  <c r="D93" i="5"/>
  <c r="E212" i="5"/>
  <c r="H44" i="5"/>
  <c r="G128" i="5"/>
  <c r="H212" i="5"/>
  <c r="E128" i="5"/>
  <c r="F128" i="5"/>
  <c r="H128" i="5"/>
  <c r="D128" i="5"/>
  <c r="I128" i="5"/>
  <c r="J128" i="5"/>
  <c r="I177" i="5"/>
  <c r="G79" i="5"/>
  <c r="H177" i="5"/>
  <c r="G93" i="5"/>
  <c r="E100" i="5"/>
  <c r="F30" i="5"/>
  <c r="F51" i="5"/>
  <c r="H79" i="5"/>
  <c r="E51" i="5"/>
  <c r="D79" i="5"/>
  <c r="I184" i="5"/>
  <c r="G100" i="5"/>
  <c r="F184" i="5"/>
  <c r="E79" i="5"/>
  <c r="F37" i="5"/>
  <c r="J72" i="5"/>
  <c r="J184" i="5"/>
  <c r="E184" i="5"/>
  <c r="J79" i="5"/>
  <c r="I79" i="5"/>
  <c r="E121" i="5"/>
  <c r="I51" i="5"/>
  <c r="H121" i="5"/>
  <c r="D121" i="5"/>
  <c r="I93" i="5"/>
  <c r="I86" i="5"/>
  <c r="G184" i="5"/>
  <c r="F86" i="5"/>
  <c r="H51" i="5"/>
  <c r="F79" i="5"/>
  <c r="D51" i="5"/>
  <c r="H23" i="5"/>
  <c r="I121" i="5"/>
  <c r="G121" i="5"/>
  <c r="F121" i="5"/>
  <c r="D184" i="5"/>
  <c r="D114" i="5"/>
  <c r="F114" i="5"/>
  <c r="E114" i="5"/>
  <c r="H184" i="5"/>
  <c r="G170" i="5"/>
  <c r="D30" i="5"/>
  <c r="F93" i="5"/>
  <c r="E93" i="5"/>
  <c r="I135" i="5"/>
  <c r="D37" i="5"/>
  <c r="H37" i="5"/>
  <c r="G51" i="5"/>
  <c r="G30" i="5"/>
  <c r="E177" i="5"/>
  <c r="J51" i="5"/>
  <c r="H93" i="5"/>
  <c r="J191" i="5"/>
  <c r="G177" i="5"/>
  <c r="J177" i="5"/>
  <c r="F177" i="5"/>
  <c r="D177" i="5"/>
  <c r="E170" i="5"/>
  <c r="I149" i="5"/>
  <c r="J86" i="5"/>
  <c r="H86" i="5"/>
  <c r="G86" i="5"/>
  <c r="D72" i="5"/>
  <c r="H72" i="5"/>
  <c r="G72" i="5"/>
  <c r="E37" i="5"/>
  <c r="H30" i="5"/>
  <c r="J16" i="5"/>
  <c r="D16" i="5"/>
  <c r="F16" i="5"/>
  <c r="H16" i="5"/>
  <c r="G16" i="5"/>
  <c r="E16" i="5"/>
  <c r="I16" i="5"/>
  <c r="F170" i="5"/>
  <c r="I114" i="5"/>
  <c r="E191" i="5"/>
  <c r="D170" i="5"/>
  <c r="G37" i="5"/>
  <c r="E72" i="5"/>
  <c r="F191" i="5"/>
  <c r="I142" i="5"/>
  <c r="D191" i="5"/>
  <c r="I30" i="5"/>
  <c r="G135" i="5"/>
  <c r="J100" i="5"/>
  <c r="J156" i="5"/>
  <c r="I191" i="5"/>
  <c r="F142" i="5"/>
  <c r="D135" i="5"/>
  <c r="H142" i="5"/>
  <c r="C30" i="5"/>
  <c r="H156" i="5"/>
  <c r="H149" i="5"/>
  <c r="H135" i="5"/>
  <c r="H170" i="5"/>
  <c r="F156" i="5"/>
  <c r="I170" i="5"/>
  <c r="G114" i="5"/>
  <c r="D23" i="5"/>
  <c r="G191" i="5"/>
  <c r="J135" i="5"/>
  <c r="D86" i="5"/>
  <c r="E156" i="5"/>
  <c r="J170" i="5"/>
  <c r="D156" i="5"/>
  <c r="D100" i="5"/>
  <c r="D149" i="5"/>
  <c r="I156" i="5"/>
  <c r="F72" i="5"/>
  <c r="E86" i="5"/>
  <c r="E149" i="5"/>
  <c r="J149" i="5"/>
  <c r="I23" i="5"/>
  <c r="I72" i="5"/>
  <c r="I100" i="5"/>
  <c r="G156" i="5"/>
  <c r="G142" i="5"/>
  <c r="E142" i="5"/>
  <c r="H114" i="5"/>
  <c r="F149" i="5"/>
  <c r="E30" i="5"/>
  <c r="H100" i="5"/>
  <c r="E135" i="5"/>
  <c r="J142" i="5"/>
  <c r="H191" i="5"/>
  <c r="D142" i="5"/>
  <c r="F100" i="5"/>
  <c r="G23" i="5"/>
  <c r="J30" i="5"/>
  <c r="G149" i="5"/>
  <c r="F135" i="5"/>
  <c r="J114" i="5"/>
  <c r="J215" i="5"/>
  <c r="J217" i="5" s="1"/>
  <c r="E215" i="5"/>
  <c r="E217" i="5" s="1"/>
  <c r="I215" i="5"/>
  <c r="I217" i="5" s="1"/>
  <c r="C215" i="5"/>
  <c r="C217" i="5" s="1"/>
  <c r="H215" i="5"/>
  <c r="H217" i="5" s="1"/>
  <c r="F215" i="5"/>
  <c r="F217" i="5" s="1"/>
  <c r="D215" i="5"/>
  <c r="D217" i="5" s="1"/>
  <c r="G215" i="5"/>
  <c r="G217" i="5" s="1"/>
  <c r="J214" i="5" l="1"/>
  <c r="G214" i="5"/>
  <c r="H214" i="5"/>
  <c r="I214" i="5"/>
  <c r="D214" i="5"/>
  <c r="F214" i="5"/>
  <c r="E214" i="5"/>
  <c r="F216" i="5"/>
  <c r="D216" i="5"/>
  <c r="E216" i="5"/>
  <c r="H216" i="5"/>
  <c r="G216" i="5"/>
  <c r="C216" i="5"/>
  <c r="I216" i="5"/>
  <c r="J216" i="5"/>
</calcChain>
</file>

<file path=xl/sharedStrings.xml><?xml version="1.0" encoding="utf-8"?>
<sst xmlns="http://schemas.openxmlformats.org/spreadsheetml/2006/main" count="496" uniqueCount="54">
  <si>
    <t>Fun</t>
    <phoneticPr fontId="2" type="noConversion"/>
  </si>
  <si>
    <t>Index</t>
    <phoneticPr fontId="2" type="noConversion"/>
  </si>
  <si>
    <t>Algorithms</t>
    <phoneticPr fontId="2" type="noConversion"/>
  </si>
  <si>
    <t>SO</t>
    <phoneticPr fontId="2" type="noConversion"/>
  </si>
  <si>
    <t>TCM-SO</t>
    <phoneticPr fontId="2" type="noConversion"/>
  </si>
  <si>
    <t>BDS-SO</t>
    <phoneticPr fontId="2" type="noConversion"/>
  </si>
  <si>
    <t>EOBL-SO</t>
    <phoneticPr fontId="2" type="noConversion"/>
  </si>
  <si>
    <t>TB-SO</t>
    <phoneticPr fontId="2" type="noConversion"/>
  </si>
  <si>
    <t>TE-SO</t>
    <phoneticPr fontId="2" type="noConversion"/>
  </si>
  <si>
    <t>BE-SO</t>
    <phoneticPr fontId="2" type="noConversion"/>
  </si>
  <si>
    <t>TBESO</t>
    <phoneticPr fontId="2" type="noConversion"/>
  </si>
  <si>
    <t>F1</t>
    <phoneticPr fontId="2" type="noConversion"/>
  </si>
  <si>
    <t>Mean</t>
    <phoneticPr fontId="2" type="noConversion"/>
  </si>
  <si>
    <t>Std</t>
    <phoneticPr fontId="2" type="noConversion"/>
  </si>
  <si>
    <t>Rank</t>
    <phoneticPr fontId="2" type="noConversion"/>
  </si>
  <si>
    <t>F2</t>
    <phoneticPr fontId="2" type="noConversion"/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</si>
  <si>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</si>
  <si>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</si>
  <si>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</si>
  <si>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</si>
  <si>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</si>
  <si>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</si>
  <si>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</si>
  <si>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</si>
  <si>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</si>
  <si>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</si>
  <si>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</si>
  <si>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</si>
  <si>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</si>
  <si>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</si>
  <si>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</si>
  <si>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</si>
  <si>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</si>
  <si>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</si>
  <si>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</si>
  <si>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</si>
  <si>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</si>
  <si>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</si>
  <si>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</si>
  <si>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</si>
  <si>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</si>
  <si>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</si>
  <si>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</si>
  <si>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</si>
  <si>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Friedman rank</t>
    <phoneticPr fontId="2" type="noConversion"/>
  </si>
  <si>
    <t>-/=/+</t>
    <phoneticPr fontId="2" type="noConversion"/>
  </si>
  <si>
    <t>Average rank</t>
    <phoneticPr fontId="2" type="noConversion"/>
  </si>
  <si>
    <t>Total rank</t>
    <phoneticPr fontId="2" type="noConversion"/>
  </si>
  <si>
    <t>std_rank</t>
    <phoneticPr fontId="1" type="noConversion"/>
  </si>
  <si>
    <t>mean_Rank</t>
    <phoneticPr fontId="2" type="noConversion"/>
  </si>
  <si>
    <t>sum_rank</t>
    <phoneticPr fontId="1" type="noConversion"/>
  </si>
  <si>
    <t>/</t>
    <phoneticPr fontId="1" type="noConversion"/>
  </si>
  <si>
    <t>‘-/=/+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</si>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</sst>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  <xf numFmtId="11" fontId="4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11" fontId="4" fillId="0" borderId="4" xfId="0" applyNumberFormat="1" applyFont="1" applyBorder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D830-E655-4801-B1EA-94DF7B2BBCEB}">
  <dimension ref="A1:K217"/>
  <sheetViews>
    <sheetView tabSelected="1" topLeftCell="A11" zoomScale="145" zoomScaleNormal="145" workbookViewId="0">
      <selection activeCell="E59" sqref="E59"/>
    </sheetView>
  </sheetViews>
  <sheetFormatPr defaultRowHeight="10.199999999999999" x14ac:dyDescent="0.25"/>
  <cols>
    <col min="1" max="1" width="5.5546875" style="6" customWidth="1"/>
    <col min="2" max="2" width="7.109375" style="6" customWidth="1"/>
    <col min="3" max="3" width="6.5546875" style="6" customWidth="1"/>
    <col min="4" max="4" width="6.88671875" style="6" customWidth="1"/>
    <col min="5" max="5" width="9.6640625" style="6" customWidth="1"/>
    <col min="6" max="6" width="7.44140625" style="6" customWidth="1"/>
    <col min="7" max="7" width="6.77734375" style="6" customWidth="1"/>
    <col min="8" max="8" width="6.88671875" style="6" customWidth="1"/>
    <col min="9" max="10" width="7.109375" style="6" customWidth="1"/>
    <col min="11" max="16384" width="8.88671875" style="6"/>
  </cols>
  <sheetData>
    <row r="1" spans="1:11" ht="10.8" thickBot="1" x14ac:dyDescent="0.3">
      <c r="A1" s="8" t="s">
        <v>0</v>
      </c>
      <c r="B1" s="8" t="s">
        <v>1</v>
      </c>
      <c r="C1" s="20" t="s">
        <v>2</v>
      </c>
      <c r="D1" s="20"/>
      <c r="E1" s="20"/>
      <c r="F1" s="20"/>
      <c r="G1" s="20"/>
      <c r="H1" s="20"/>
      <c r="I1" s="20"/>
      <c r="J1" s="20"/>
    </row>
    <row r="2" spans="1:11" ht="10.8" thickBot="1" x14ac:dyDescent="0.3">
      <c r="A2" s="5"/>
      <c r="B2" s="5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1" x14ac:dyDescent="0.25">
      <c r="A3" s="8" t="s">
        <v>11</v>
      </c>
      <c r="B3" s="8" t="s">
        <v>12</v>
      </c>
      <c r="C3" s="11">
        <f>辅助表!C3</f>
        <v>2302098114.42592</v>
      </c>
      <c r="D3" s="11">
        <f>辅助表!D3</f>
        <v>25983918758.520245</v>
      </c>
      <c r="E3" s="11">
        <f>辅助表!E3</f>
        <v>35688240.159095824</v>
      </c>
      <c r="F3" s="11">
        <f>辅助表!F3</f>
        <v>495309937.32435608</v>
      </c>
      <c r="G3" s="11">
        <f>辅助表!G3</f>
        <v>427679115.54133105</v>
      </c>
      <c r="H3" s="11">
        <f>辅助表!H3</f>
        <v>485630390.50797212</v>
      </c>
      <c r="I3" s="11">
        <f>辅助表!I3</f>
        <v>25992311.306208678</v>
      </c>
      <c r="J3" s="12">
        <f>辅助表!J3</f>
        <v>24394090.933535136</v>
      </c>
      <c r="K3" s="7"/>
    </row>
    <row r="4" spans="1:11" x14ac:dyDescent="0.25">
      <c r="A4" s="13"/>
      <c r="B4" s="13" t="s">
        <v>13</v>
      </c>
      <c r="C4" s="14">
        <f>辅助表!C4</f>
        <v>1025549971.2681342</v>
      </c>
      <c r="D4" s="14">
        <f>辅助表!D4</f>
        <v>6777166484.789669</v>
      </c>
      <c r="E4" s="14">
        <f>辅助表!E4</f>
        <v>20432903.609931838</v>
      </c>
      <c r="F4" s="14">
        <f>辅助表!F4</f>
        <v>278757014.11913556</v>
      </c>
      <c r="G4" s="14">
        <f>辅助表!G4</f>
        <v>206543215.92418608</v>
      </c>
      <c r="H4" s="14">
        <f>辅助表!H4</f>
        <v>260119691.35410067</v>
      </c>
      <c r="I4" s="15">
        <f>辅助表!I4</f>
        <v>14068291.944009842</v>
      </c>
      <c r="J4" s="14">
        <f>辅助表!J4</f>
        <v>14882926.720280647</v>
      </c>
      <c r="K4" s="7"/>
    </row>
    <row r="5" spans="1:11" hidden="1" x14ac:dyDescent="0.25">
      <c r="B5" s="6" t="s">
        <v>49</v>
      </c>
      <c r="C5" s="6">
        <f t="shared" ref="C5:J6" si="0">RANK(C3,3:3,1)</f>
        <v>7</v>
      </c>
      <c r="D5" s="6">
        <f t="shared" si="0"/>
        <v>8</v>
      </c>
      <c r="E5" s="6">
        <f t="shared" si="0"/>
        <v>3</v>
      </c>
      <c r="F5" s="6">
        <f t="shared" si="0"/>
        <v>6</v>
      </c>
      <c r="G5" s="6">
        <f t="shared" si="0"/>
        <v>4</v>
      </c>
      <c r="H5" s="6">
        <f t="shared" si="0"/>
        <v>5</v>
      </c>
      <c r="I5" s="6">
        <f t="shared" si="0"/>
        <v>2</v>
      </c>
      <c r="J5" s="6">
        <f t="shared" si="0"/>
        <v>1</v>
      </c>
    </row>
    <row r="6" spans="1:11" hidden="1" x14ac:dyDescent="0.25">
      <c r="B6" s="6" t="s">
        <v>48</v>
      </c>
      <c r="C6" s="6">
        <f t="shared" si="0"/>
        <v>7</v>
      </c>
      <c r="D6" s="6">
        <f t="shared" si="0"/>
        <v>8</v>
      </c>
      <c r="E6" s="6">
        <f t="shared" si="0"/>
        <v>3</v>
      </c>
      <c r="F6" s="6">
        <f t="shared" si="0"/>
        <v>6</v>
      </c>
      <c r="G6" s="6">
        <f t="shared" si="0"/>
        <v>4</v>
      </c>
      <c r="H6" s="6">
        <f t="shared" si="0"/>
        <v>5</v>
      </c>
      <c r="I6" s="6">
        <f t="shared" si="0"/>
        <v>1</v>
      </c>
      <c r="J6" s="6">
        <f t="shared" si="0"/>
        <v>2</v>
      </c>
    </row>
    <row r="7" spans="1:11" hidden="1" x14ac:dyDescent="0.25">
      <c r="B7" s="6" t="s">
        <v>50</v>
      </c>
      <c r="C7" s="6">
        <f>C5+C6</f>
        <v>14</v>
      </c>
      <c r="D7" s="6">
        <f t="shared" ref="D7:J7" si="1">D5+D6</f>
        <v>16</v>
      </c>
      <c r="E7" s="6">
        <f t="shared" si="1"/>
        <v>6</v>
      </c>
      <c r="F7" s="6">
        <f t="shared" si="1"/>
        <v>12</v>
      </c>
      <c r="G7" s="6">
        <f t="shared" si="1"/>
        <v>8</v>
      </c>
      <c r="H7" s="6">
        <f t="shared" si="1"/>
        <v>10</v>
      </c>
      <c r="I7" s="6">
        <f t="shared" si="1"/>
        <v>3</v>
      </c>
      <c r="J7" s="6">
        <f t="shared" si="1"/>
        <v>3</v>
      </c>
    </row>
    <row r="8" spans="1:11" hidden="1" x14ac:dyDescent="0.25">
      <c r="B8" s="6" t="s">
        <v>53</v>
      </c>
      <c r="C8" s="6">
        <f t="shared" ref="C8:J8" si="2">RANK(C7,7:7,1)</f>
        <v>7</v>
      </c>
      <c r="D8" s="6">
        <f t="shared" si="2"/>
        <v>8</v>
      </c>
      <c r="E8" s="6">
        <f t="shared" si="2"/>
        <v>3</v>
      </c>
      <c r="F8" s="6">
        <f t="shared" si="2"/>
        <v>6</v>
      </c>
      <c r="G8" s="6">
        <f t="shared" si="2"/>
        <v>4</v>
      </c>
      <c r="H8" s="6">
        <f t="shared" si="2"/>
        <v>5</v>
      </c>
      <c r="I8" s="6">
        <f t="shared" si="2"/>
        <v>1</v>
      </c>
      <c r="J8" s="6">
        <f t="shared" si="2"/>
        <v>1</v>
      </c>
    </row>
    <row r="9" spans="1:11" hidden="1" x14ac:dyDescent="0.25">
      <c r="B9" s="6" t="s">
        <v>52</v>
      </c>
      <c r="C9" s="6" t="str">
        <f>IF(C8&gt;C8,"-",IF(C8=C8,"=","+"))</f>
        <v>=</v>
      </c>
      <c r="D9" s="6" t="str">
        <f>IF(D8&gt;C8,"-",IF(D8=C8,"=","+"))</f>
        <v>-</v>
      </c>
      <c r="E9" s="6" t="str">
        <f>IF(E8&gt;C8,"-",IF(E8=C8,"=","+"))</f>
        <v>+</v>
      </c>
      <c r="F9" s="6" t="str">
        <f>IF(F8&gt;C8,"-",IF(F8=C8,"=","+"))</f>
        <v>+</v>
      </c>
      <c r="G9" s="6" t="str">
        <f>IF(G8&gt;C8,"-",IF(G8=C8,"=","+"))</f>
        <v>+</v>
      </c>
      <c r="H9" s="6" t="str">
        <f>IF(H8&gt;C8,"-",IF(H8=C8,"=","+"))</f>
        <v>+</v>
      </c>
      <c r="I9" s="6" t="str">
        <f>IF(I8&gt;C8,"-",IF(I8=C8,"=","+"))</f>
        <v>+</v>
      </c>
      <c r="J9" s="6" t="str">
        <f>IF(J8&gt;C8,"-",IF(J8=C8,"=","+"))</f>
        <v>+</v>
      </c>
    </row>
    <row r="10" spans="1:11" x14ac:dyDescent="0.25">
      <c r="A10" s="6" t="s">
        <v>15</v>
      </c>
      <c r="B10" s="6" t="s">
        <v>12</v>
      </c>
      <c r="C10" s="7">
        <f>辅助表!C5</f>
        <v>1.1421454094963452E+32</v>
      </c>
      <c r="D10" s="7">
        <f>辅助表!D5</f>
        <v>5.5838832914440602E+37</v>
      </c>
      <c r="E10" s="7">
        <f>辅助表!E5</f>
        <v>3.6232160917244838E+28</v>
      </c>
      <c r="F10" s="7">
        <f>辅助表!F5</f>
        <v>6.0032475522030676E+31</v>
      </c>
      <c r="G10" s="7">
        <f>辅助表!G5</f>
        <v>7.7946278776004693E+30</v>
      </c>
      <c r="H10" s="7">
        <f>辅助表!H5</f>
        <v>7.6083723678410202E+32</v>
      </c>
      <c r="I10" s="7">
        <f>辅助表!I5</f>
        <v>6.8063256661715885E+27</v>
      </c>
      <c r="J10" s="16">
        <f>辅助表!J5</f>
        <v>1.0184731921978256E+27</v>
      </c>
      <c r="K10" s="7"/>
    </row>
    <row r="11" spans="1:11" x14ac:dyDescent="0.25">
      <c r="A11" s="13"/>
      <c r="B11" s="13" t="s">
        <v>13</v>
      </c>
      <c r="C11" s="14">
        <f>辅助表!C6</f>
        <v>3.6284938924284446E+32</v>
      </c>
      <c r="D11" s="14">
        <f>辅助表!D6</f>
        <v>2.4614382258114737E+38</v>
      </c>
      <c r="E11" s="14">
        <f>辅助表!E6</f>
        <v>1.0309383993604646E+29</v>
      </c>
      <c r="F11" s="14">
        <f>辅助表!F6</f>
        <v>2.3171127600109037E+32</v>
      </c>
      <c r="G11" s="14">
        <f>辅助表!G6</f>
        <v>3.7168276909542311E+31</v>
      </c>
      <c r="H11" s="14">
        <f>辅助表!H6</f>
        <v>4.157884980673908E+33</v>
      </c>
      <c r="I11" s="14">
        <f>辅助表!I6</f>
        <v>3.2331306097181921E+28</v>
      </c>
      <c r="J11" s="15">
        <f>辅助表!J6</f>
        <v>3.1997277715711766E+27</v>
      </c>
      <c r="K11" s="7"/>
    </row>
    <row r="12" spans="1:11" hidden="1" x14ac:dyDescent="0.25">
      <c r="B12" s="6" t="s">
        <v>49</v>
      </c>
      <c r="C12" s="6">
        <f t="shared" ref="C12:J13" si="3">RANK(C10,10:10,1)</f>
        <v>6</v>
      </c>
      <c r="D12" s="6">
        <f t="shared" si="3"/>
        <v>8</v>
      </c>
      <c r="E12" s="6">
        <f t="shared" si="3"/>
        <v>3</v>
      </c>
      <c r="F12" s="6">
        <f t="shared" si="3"/>
        <v>5</v>
      </c>
      <c r="G12" s="6">
        <f t="shared" si="3"/>
        <v>4</v>
      </c>
      <c r="H12" s="6">
        <f t="shared" si="3"/>
        <v>7</v>
      </c>
      <c r="I12" s="6">
        <f t="shared" si="3"/>
        <v>2</v>
      </c>
      <c r="J12" s="6">
        <f t="shared" si="3"/>
        <v>1</v>
      </c>
    </row>
    <row r="13" spans="1:11" hidden="1" x14ac:dyDescent="0.25">
      <c r="B13" s="6" t="s">
        <v>48</v>
      </c>
      <c r="C13" s="6">
        <f t="shared" si="3"/>
        <v>6</v>
      </c>
      <c r="D13" s="6">
        <f t="shared" si="3"/>
        <v>8</v>
      </c>
      <c r="E13" s="6">
        <f t="shared" si="3"/>
        <v>3</v>
      </c>
      <c r="F13" s="6">
        <f t="shared" si="3"/>
        <v>5</v>
      </c>
      <c r="G13" s="6">
        <f t="shared" si="3"/>
        <v>4</v>
      </c>
      <c r="H13" s="6">
        <f t="shared" si="3"/>
        <v>7</v>
      </c>
      <c r="I13" s="6">
        <f t="shared" si="3"/>
        <v>2</v>
      </c>
      <c r="J13" s="6">
        <f t="shared" si="3"/>
        <v>1</v>
      </c>
    </row>
    <row r="14" spans="1:11" hidden="1" x14ac:dyDescent="0.25">
      <c r="B14" s="6" t="s">
        <v>50</v>
      </c>
      <c r="C14" s="6">
        <f>C12+C13</f>
        <v>12</v>
      </c>
      <c r="D14" s="6">
        <f t="shared" ref="D14:J14" si="4">D12+D13</f>
        <v>16</v>
      </c>
      <c r="E14" s="6">
        <f t="shared" si="4"/>
        <v>6</v>
      </c>
      <c r="F14" s="6">
        <f t="shared" si="4"/>
        <v>10</v>
      </c>
      <c r="G14" s="6">
        <f t="shared" si="4"/>
        <v>8</v>
      </c>
      <c r="H14" s="6">
        <f t="shared" si="4"/>
        <v>14</v>
      </c>
      <c r="I14" s="6">
        <f t="shared" si="4"/>
        <v>4</v>
      </c>
      <c r="J14" s="6">
        <f t="shared" si="4"/>
        <v>2</v>
      </c>
    </row>
    <row r="15" spans="1:11" hidden="1" x14ac:dyDescent="0.25">
      <c r="B15" s="6" t="s">
        <v>53</v>
      </c>
      <c r="C15" s="6">
        <f t="shared" ref="C15:J15" si="5">RANK(C14,14:14,1)</f>
        <v>6</v>
      </c>
      <c r="D15" s="6">
        <f t="shared" si="5"/>
        <v>8</v>
      </c>
      <c r="E15" s="6">
        <f t="shared" si="5"/>
        <v>3</v>
      </c>
      <c r="F15" s="6">
        <f t="shared" si="5"/>
        <v>5</v>
      </c>
      <c r="G15" s="6">
        <f t="shared" si="5"/>
        <v>4</v>
      </c>
      <c r="H15" s="6">
        <f t="shared" si="5"/>
        <v>7</v>
      </c>
      <c r="I15" s="6">
        <f t="shared" si="5"/>
        <v>2</v>
      </c>
      <c r="J15" s="6">
        <f t="shared" si="5"/>
        <v>1</v>
      </c>
    </row>
    <row r="16" spans="1:11" hidden="1" x14ac:dyDescent="0.25">
      <c r="B16" s="6" t="s">
        <v>52</v>
      </c>
      <c r="C16" s="6" t="str">
        <f>IF(C15&gt;C15,"-",IF(C15=C15,"=","+"))</f>
        <v>=</v>
      </c>
      <c r="D16" s="6" t="str">
        <f>IF(D15&gt;C15,"-",IF(D15=C15,"=","+"))</f>
        <v>-</v>
      </c>
      <c r="E16" s="6" t="str">
        <f>IF(E15&gt;C15,"-",IF(E15=C15,"=","+"))</f>
        <v>+</v>
      </c>
      <c r="F16" s="6" t="str">
        <f>IF(F15&gt;C15,"-",IF(F15=C15,"=","+"))</f>
        <v>+</v>
      </c>
      <c r="G16" s="6" t="str">
        <f>IF(G15&gt;C15,"-",IF(G15=C15,"=","+"))</f>
        <v>+</v>
      </c>
      <c r="H16" s="6" t="str">
        <f>IF(H15&gt;C15,"-",IF(H15=C15,"=","+"))</f>
        <v>-</v>
      </c>
      <c r="I16" s="6" t="str">
        <f>IF(I15&gt;C15,"-",IF(I15=C15,"=","+"))</f>
        <v>+</v>
      </c>
      <c r="J16" s="6" t="str">
        <f>IF(J15&gt;C15,"-",IF(J15=C15,"=","+"))</f>
        <v>+</v>
      </c>
    </row>
    <row r="17" spans="1:11" x14ac:dyDescent="0.25">
      <c r="A17" s="6" t="s">
        <v>16</v>
      </c>
      <c r="B17" s="6" t="s">
        <v>12</v>
      </c>
      <c r="C17" s="7">
        <f>辅助表!C7</f>
        <v>81278.806576516989</v>
      </c>
      <c r="D17" s="7">
        <f>辅助表!D7</f>
        <v>88937.976421196174</v>
      </c>
      <c r="E17" s="7">
        <f>辅助表!E7</f>
        <v>79389.602203076458</v>
      </c>
      <c r="F17" s="7">
        <f>辅助表!F7</f>
        <v>71485.161819594825</v>
      </c>
      <c r="G17" s="7">
        <f>辅助表!G7</f>
        <v>91541.140469547681</v>
      </c>
      <c r="H17" s="7">
        <f>辅助表!H7</f>
        <v>72370.101787528256</v>
      </c>
      <c r="I17" s="7">
        <f>辅助表!I7</f>
        <v>69450.501382821516</v>
      </c>
      <c r="J17" s="16">
        <f>辅助表!J7</f>
        <v>66572.544466994616</v>
      </c>
      <c r="K17" s="7"/>
    </row>
    <row r="18" spans="1:11" x14ac:dyDescent="0.25">
      <c r="A18" s="13"/>
      <c r="B18" s="13" t="s">
        <v>13</v>
      </c>
      <c r="C18" s="14">
        <f>辅助表!C8</f>
        <v>8529.3576218126618</v>
      </c>
      <c r="D18" s="15">
        <f>辅助表!D8</f>
        <v>6058.1332923693535</v>
      </c>
      <c r="E18" s="14">
        <f>辅助表!E8</f>
        <v>10646.740199830991</v>
      </c>
      <c r="F18" s="14">
        <f>辅助表!F8</f>
        <v>7402.9582486144782</v>
      </c>
      <c r="G18" s="14">
        <f>辅助表!G8</f>
        <v>6956.1384617891908</v>
      </c>
      <c r="H18" s="14">
        <f>辅助表!H8</f>
        <v>6112.487441977325</v>
      </c>
      <c r="I18" s="14">
        <f>辅助表!I8</f>
        <v>10095.785620274028</v>
      </c>
      <c r="J18" s="14">
        <f>辅助表!J8</f>
        <v>9545.5028755385101</v>
      </c>
      <c r="K18" s="7"/>
    </row>
    <row r="19" spans="1:11" hidden="1" x14ac:dyDescent="0.25">
      <c r="B19" s="6" t="s">
        <v>49</v>
      </c>
      <c r="C19" s="6">
        <f t="shared" ref="C19:J20" si="6">RANK(C17,17:17,1)</f>
        <v>6</v>
      </c>
      <c r="D19" s="6">
        <f t="shared" si="6"/>
        <v>7</v>
      </c>
      <c r="E19" s="6">
        <f t="shared" si="6"/>
        <v>5</v>
      </c>
      <c r="F19" s="6">
        <f t="shared" si="6"/>
        <v>3</v>
      </c>
      <c r="G19" s="6">
        <f t="shared" si="6"/>
        <v>8</v>
      </c>
      <c r="H19" s="6">
        <f t="shared" si="6"/>
        <v>4</v>
      </c>
      <c r="I19" s="6">
        <f t="shared" si="6"/>
        <v>2</v>
      </c>
      <c r="J19" s="6">
        <f t="shared" si="6"/>
        <v>1</v>
      </c>
    </row>
    <row r="20" spans="1:11" hidden="1" x14ac:dyDescent="0.25">
      <c r="B20" s="6" t="s">
        <v>48</v>
      </c>
      <c r="C20" s="6">
        <f t="shared" si="6"/>
        <v>5</v>
      </c>
      <c r="D20" s="6">
        <f t="shared" si="6"/>
        <v>1</v>
      </c>
      <c r="E20" s="6">
        <f t="shared" si="6"/>
        <v>8</v>
      </c>
      <c r="F20" s="6">
        <f t="shared" si="6"/>
        <v>4</v>
      </c>
      <c r="G20" s="6">
        <f t="shared" si="6"/>
        <v>3</v>
      </c>
      <c r="H20" s="6">
        <f t="shared" si="6"/>
        <v>2</v>
      </c>
      <c r="I20" s="6">
        <f t="shared" si="6"/>
        <v>7</v>
      </c>
      <c r="J20" s="6">
        <f t="shared" si="6"/>
        <v>6</v>
      </c>
    </row>
    <row r="21" spans="1:11" hidden="1" x14ac:dyDescent="0.25">
      <c r="B21" s="6" t="s">
        <v>50</v>
      </c>
      <c r="C21" s="6">
        <f t="shared" ref="C21" si="7">C19+C20</f>
        <v>11</v>
      </c>
      <c r="D21" s="6">
        <f t="shared" ref="D21" si="8">D19+D20</f>
        <v>8</v>
      </c>
      <c r="E21" s="6">
        <f t="shared" ref="E21" si="9">E19+E20</f>
        <v>13</v>
      </c>
      <c r="F21" s="6">
        <f t="shared" ref="F21" si="10">F19+F20</f>
        <v>7</v>
      </c>
      <c r="G21" s="6">
        <f t="shared" ref="G21" si="11">G19+G20</f>
        <v>11</v>
      </c>
      <c r="H21" s="6">
        <f t="shared" ref="H21" si="12">H19+H20</f>
        <v>6</v>
      </c>
      <c r="I21" s="6">
        <f t="shared" ref="I21" si="13">I19+I20</f>
        <v>9</v>
      </c>
      <c r="J21" s="6">
        <f t="shared" ref="J21" si="14">J19+J20</f>
        <v>7</v>
      </c>
    </row>
    <row r="22" spans="1:11" hidden="1" x14ac:dyDescent="0.25">
      <c r="B22" s="6" t="s">
        <v>53</v>
      </c>
      <c r="C22" s="6">
        <f t="shared" ref="C22:J22" si="15">RANK(C21,21:21,1)</f>
        <v>6</v>
      </c>
      <c r="D22" s="6">
        <f t="shared" si="15"/>
        <v>4</v>
      </c>
      <c r="E22" s="6">
        <f t="shared" si="15"/>
        <v>8</v>
      </c>
      <c r="F22" s="6">
        <f t="shared" si="15"/>
        <v>2</v>
      </c>
      <c r="G22" s="6">
        <f t="shared" si="15"/>
        <v>6</v>
      </c>
      <c r="H22" s="6">
        <f t="shared" si="15"/>
        <v>1</v>
      </c>
      <c r="I22" s="6">
        <f t="shared" si="15"/>
        <v>5</v>
      </c>
      <c r="J22" s="6">
        <f t="shared" si="15"/>
        <v>2</v>
      </c>
    </row>
    <row r="23" spans="1:11" hidden="1" x14ac:dyDescent="0.25">
      <c r="B23" s="6" t="s">
        <v>52</v>
      </c>
      <c r="C23" s="6" t="str">
        <f t="shared" ref="C23" si="16">IF(C22&gt;C22,"-",IF(C22=C22,"=","+"))</f>
        <v>=</v>
      </c>
      <c r="D23" s="6" t="str">
        <f t="shared" ref="D23" si="17">IF(D22&gt;C22,"-",IF(D22=C22,"=","+"))</f>
        <v>+</v>
      </c>
      <c r="E23" s="6" t="str">
        <f t="shared" ref="E23" si="18">IF(E22&gt;C22,"-",IF(E22=C22,"=","+"))</f>
        <v>-</v>
      </c>
      <c r="F23" s="6" t="str">
        <f t="shared" ref="F23" si="19">IF(F22&gt;C22,"-",IF(F22=C22,"=","+"))</f>
        <v>+</v>
      </c>
      <c r="G23" s="6" t="str">
        <f t="shared" ref="G23" si="20">IF(G22&gt;C22,"-",IF(G22=C22,"=","+"))</f>
        <v>=</v>
      </c>
      <c r="H23" s="6" t="str">
        <f t="shared" ref="H23" si="21">IF(H22&gt;C22,"-",IF(H22=C22,"=","+"))</f>
        <v>+</v>
      </c>
      <c r="I23" s="6" t="str">
        <f t="shared" ref="I23" si="22">IF(I22&gt;C22,"-",IF(I22=C22,"=","+"))</f>
        <v>+</v>
      </c>
      <c r="J23" s="6" t="str">
        <f>IF(J22&gt;C22,"-",IF(J22=C22,"=","+"))</f>
        <v>+</v>
      </c>
    </row>
    <row r="24" spans="1:11" x14ac:dyDescent="0.25">
      <c r="A24" s="6" t="s">
        <v>17</v>
      </c>
      <c r="B24" s="6" t="s">
        <v>12</v>
      </c>
      <c r="C24" s="7">
        <f>辅助表!C9</f>
        <v>789.16251718936496</v>
      </c>
      <c r="D24" s="7">
        <f>辅助表!D9</f>
        <v>3374.8981721369182</v>
      </c>
      <c r="E24" s="7">
        <f>辅助表!E9</f>
        <v>555.40489065259021</v>
      </c>
      <c r="F24" s="7">
        <f>辅助表!F9</f>
        <v>647.85349422659942</v>
      </c>
      <c r="G24" s="7">
        <f>辅助表!G9</f>
        <v>635.54257468271499</v>
      </c>
      <c r="H24" s="7">
        <f>辅助表!H9</f>
        <v>661.24301569546481</v>
      </c>
      <c r="I24" s="7">
        <f>辅助表!I9</f>
        <v>556.80898058586797</v>
      </c>
      <c r="J24" s="16">
        <f>辅助表!J9</f>
        <v>544.22697317173311</v>
      </c>
      <c r="K24" s="7"/>
    </row>
    <row r="25" spans="1:11" x14ac:dyDescent="0.25">
      <c r="A25" s="13"/>
      <c r="B25" s="13" t="s">
        <v>13</v>
      </c>
      <c r="C25" s="14">
        <f>辅助表!C10</f>
        <v>128.62000453889152</v>
      </c>
      <c r="D25" s="14">
        <f>辅助表!D10</f>
        <v>1146.5087820841627</v>
      </c>
      <c r="E25" s="14">
        <f>辅助表!E10</f>
        <v>49.901797971029588</v>
      </c>
      <c r="F25" s="14">
        <f>辅助表!F10</f>
        <v>62.976209969381941</v>
      </c>
      <c r="G25" s="14">
        <f>辅助表!G10</f>
        <v>55.764655368816278</v>
      </c>
      <c r="H25" s="14">
        <f>辅助表!H10</f>
        <v>81.612139261865877</v>
      </c>
      <c r="I25" s="14">
        <f>辅助表!I10</f>
        <v>38.318548736166491</v>
      </c>
      <c r="J25" s="15">
        <f>辅助表!J10</f>
        <v>27.241981301984055</v>
      </c>
      <c r="K25" s="7"/>
    </row>
    <row r="26" spans="1:11" hidden="1" x14ac:dyDescent="0.25">
      <c r="B26" s="6" t="s">
        <v>49</v>
      </c>
      <c r="C26" s="6">
        <f t="shared" ref="C26:J27" si="23">RANK(C24,24:24,1)</f>
        <v>7</v>
      </c>
      <c r="D26" s="6">
        <f t="shared" si="23"/>
        <v>8</v>
      </c>
      <c r="E26" s="6">
        <f t="shared" si="23"/>
        <v>2</v>
      </c>
      <c r="F26" s="6">
        <f t="shared" si="23"/>
        <v>5</v>
      </c>
      <c r="G26" s="6">
        <f t="shared" si="23"/>
        <v>4</v>
      </c>
      <c r="H26" s="6">
        <f t="shared" si="23"/>
        <v>6</v>
      </c>
      <c r="I26" s="6">
        <f t="shared" si="23"/>
        <v>3</v>
      </c>
      <c r="J26" s="6">
        <f t="shared" si="23"/>
        <v>1</v>
      </c>
    </row>
    <row r="27" spans="1:11" hidden="1" x14ac:dyDescent="0.25">
      <c r="B27" s="6" t="s">
        <v>48</v>
      </c>
      <c r="C27" s="6">
        <f t="shared" si="23"/>
        <v>7</v>
      </c>
      <c r="D27" s="6">
        <f t="shared" si="23"/>
        <v>8</v>
      </c>
      <c r="E27" s="6">
        <f t="shared" si="23"/>
        <v>3</v>
      </c>
      <c r="F27" s="6">
        <f t="shared" si="23"/>
        <v>5</v>
      </c>
      <c r="G27" s="6">
        <f t="shared" si="23"/>
        <v>4</v>
      </c>
      <c r="H27" s="6">
        <f t="shared" si="23"/>
        <v>6</v>
      </c>
      <c r="I27" s="6">
        <f t="shared" si="23"/>
        <v>2</v>
      </c>
      <c r="J27" s="6">
        <f t="shared" si="23"/>
        <v>1</v>
      </c>
    </row>
    <row r="28" spans="1:11" hidden="1" x14ac:dyDescent="0.25">
      <c r="B28" s="6" t="s">
        <v>50</v>
      </c>
      <c r="C28" s="6">
        <f t="shared" ref="C28" si="24">C26+C27</f>
        <v>14</v>
      </c>
      <c r="D28" s="6">
        <f t="shared" ref="D28" si="25">D26+D27</f>
        <v>16</v>
      </c>
      <c r="E28" s="6">
        <f t="shared" ref="E28" si="26">E26+E27</f>
        <v>5</v>
      </c>
      <c r="F28" s="6">
        <f t="shared" ref="F28" si="27">F26+F27</f>
        <v>10</v>
      </c>
      <c r="G28" s="6">
        <f t="shared" ref="G28" si="28">G26+G27</f>
        <v>8</v>
      </c>
      <c r="H28" s="6">
        <f t="shared" ref="H28" si="29">H26+H27</f>
        <v>12</v>
      </c>
      <c r="I28" s="6">
        <f t="shared" ref="I28" si="30">I26+I27</f>
        <v>5</v>
      </c>
      <c r="J28" s="6">
        <f t="shared" ref="J28" si="31">J26+J27</f>
        <v>2</v>
      </c>
    </row>
    <row r="29" spans="1:11" hidden="1" x14ac:dyDescent="0.25">
      <c r="B29" s="6" t="s">
        <v>53</v>
      </c>
      <c r="C29" s="6">
        <f t="shared" ref="C29:J29" si="32">RANK(C28,28:28,1)</f>
        <v>7</v>
      </c>
      <c r="D29" s="6">
        <f t="shared" si="32"/>
        <v>8</v>
      </c>
      <c r="E29" s="6">
        <f t="shared" si="32"/>
        <v>2</v>
      </c>
      <c r="F29" s="6">
        <f t="shared" si="32"/>
        <v>5</v>
      </c>
      <c r="G29" s="6">
        <f t="shared" si="32"/>
        <v>4</v>
      </c>
      <c r="H29" s="6">
        <f t="shared" si="32"/>
        <v>6</v>
      </c>
      <c r="I29" s="6">
        <f t="shared" si="32"/>
        <v>2</v>
      </c>
      <c r="J29" s="6">
        <f t="shared" si="32"/>
        <v>1</v>
      </c>
    </row>
    <row r="30" spans="1:11" hidden="1" x14ac:dyDescent="0.25">
      <c r="B30" s="6" t="s">
        <v>52</v>
      </c>
      <c r="C30" s="6" t="str">
        <f t="shared" ref="C30" si="33">IF(C29&gt;C29,"-",IF(C29=C29,"=","+"))</f>
        <v>=</v>
      </c>
      <c r="D30" s="6" t="str">
        <f t="shared" ref="D30" si="34">IF(D29&gt;C29,"-",IF(D29=C29,"=","+"))</f>
        <v>-</v>
      </c>
      <c r="E30" s="6" t="str">
        <f t="shared" ref="E30" si="35">IF(E29&gt;C29,"-",IF(E29=C29,"=","+"))</f>
        <v>+</v>
      </c>
      <c r="F30" s="6" t="str">
        <f t="shared" ref="F30" si="36">IF(F29&gt;C29,"-",IF(F29=C29,"=","+"))</f>
        <v>+</v>
      </c>
      <c r="G30" s="6" t="str">
        <f t="shared" ref="G30" si="37">IF(G29&gt;C29,"-",IF(G29=C29,"=","+"))</f>
        <v>+</v>
      </c>
      <c r="H30" s="6" t="str">
        <f t="shared" ref="H30" si="38">IF(H29&gt;C29,"-",IF(H29=C29,"=","+"))</f>
        <v>+</v>
      </c>
      <c r="I30" s="6" t="str">
        <f t="shared" ref="I30" si="39">IF(I29&gt;C29,"-",IF(I29=C29,"=","+"))</f>
        <v>+</v>
      </c>
      <c r="J30" s="6" t="str">
        <f>IF(J29&gt;C29,"-",IF(J29=C29,"=","+"))</f>
        <v>+</v>
      </c>
    </row>
    <row r="31" spans="1:11" x14ac:dyDescent="0.25">
      <c r="A31" s="6" t="s">
        <v>18</v>
      </c>
      <c r="B31" s="6" t="s">
        <v>12</v>
      </c>
      <c r="C31" s="7">
        <f>辅助表!C11</f>
        <v>628.66725462166357</v>
      </c>
      <c r="D31" s="7">
        <f>辅助表!D11</f>
        <v>959.27739460623229</v>
      </c>
      <c r="E31" s="7">
        <f>辅助表!E11</f>
        <v>669.35651271791983</v>
      </c>
      <c r="F31" s="16">
        <f>辅助表!F11</f>
        <v>606.47935683202877</v>
      </c>
      <c r="G31" s="7">
        <f>辅助表!G11</f>
        <v>781.02255961865501</v>
      </c>
      <c r="H31" s="7">
        <f>辅助表!H11</f>
        <v>612.59429773758416</v>
      </c>
      <c r="I31" s="7">
        <f>辅助表!I11</f>
        <v>648.24283016222319</v>
      </c>
      <c r="J31" s="7">
        <f>辅助表!J11</f>
        <v>656.0168491439033</v>
      </c>
      <c r="K31" s="7"/>
    </row>
    <row r="32" spans="1:11" x14ac:dyDescent="0.25">
      <c r="A32" s="13"/>
      <c r="B32" s="13" t="s">
        <v>13</v>
      </c>
      <c r="C32" s="14">
        <f>辅助表!C12</f>
        <v>30.262420152845589</v>
      </c>
      <c r="D32" s="15">
        <f>辅助表!D12</f>
        <v>15.916184627547818</v>
      </c>
      <c r="E32" s="14">
        <f>辅助表!E12</f>
        <v>39.415565587228336</v>
      </c>
      <c r="F32" s="14">
        <f>辅助表!F12</f>
        <v>26.26433524051955</v>
      </c>
      <c r="G32" s="14">
        <f>辅助表!G12</f>
        <v>46.814431279978898</v>
      </c>
      <c r="H32" s="14">
        <f>辅助表!H12</f>
        <v>30.143565202323792</v>
      </c>
      <c r="I32" s="14">
        <f>辅助表!I12</f>
        <v>38.608787589595032</v>
      </c>
      <c r="J32" s="14">
        <f>辅助表!J12</f>
        <v>35.153659802225228</v>
      </c>
      <c r="K32" s="7"/>
    </row>
    <row r="33" spans="1:11" hidden="1" x14ac:dyDescent="0.25">
      <c r="B33" s="6" t="s">
        <v>49</v>
      </c>
      <c r="C33" s="6">
        <f t="shared" ref="C33:J34" si="40">RANK(C31,31:31,1)</f>
        <v>3</v>
      </c>
      <c r="D33" s="6">
        <f t="shared" si="40"/>
        <v>8</v>
      </c>
      <c r="E33" s="6">
        <f t="shared" si="40"/>
        <v>6</v>
      </c>
      <c r="F33" s="6">
        <f t="shared" si="40"/>
        <v>1</v>
      </c>
      <c r="G33" s="6">
        <f t="shared" si="40"/>
        <v>7</v>
      </c>
      <c r="H33" s="6">
        <f t="shared" si="40"/>
        <v>2</v>
      </c>
      <c r="I33" s="6">
        <f t="shared" si="40"/>
        <v>4</v>
      </c>
      <c r="J33" s="6">
        <f t="shared" si="40"/>
        <v>5</v>
      </c>
    </row>
    <row r="34" spans="1:11" hidden="1" x14ac:dyDescent="0.25">
      <c r="B34" s="6" t="s">
        <v>48</v>
      </c>
      <c r="C34" s="6">
        <f t="shared" si="40"/>
        <v>4</v>
      </c>
      <c r="D34" s="6">
        <f t="shared" si="40"/>
        <v>1</v>
      </c>
      <c r="E34" s="6">
        <f t="shared" si="40"/>
        <v>7</v>
      </c>
      <c r="F34" s="6">
        <f t="shared" si="40"/>
        <v>2</v>
      </c>
      <c r="G34" s="6">
        <f t="shared" si="40"/>
        <v>8</v>
      </c>
      <c r="H34" s="6">
        <f t="shared" si="40"/>
        <v>3</v>
      </c>
      <c r="I34" s="6">
        <f t="shared" si="40"/>
        <v>6</v>
      </c>
      <c r="J34" s="6">
        <f t="shared" si="40"/>
        <v>5</v>
      </c>
    </row>
    <row r="35" spans="1:11" hidden="1" x14ac:dyDescent="0.25">
      <c r="B35" s="6" t="s">
        <v>50</v>
      </c>
      <c r="C35" s="6">
        <f t="shared" ref="C35" si="41">C33+C34</f>
        <v>7</v>
      </c>
      <c r="D35" s="6">
        <f t="shared" ref="D35" si="42">D33+D34</f>
        <v>9</v>
      </c>
      <c r="E35" s="6">
        <f t="shared" ref="E35" si="43">E33+E34</f>
        <v>13</v>
      </c>
      <c r="F35" s="6">
        <f t="shared" ref="F35" si="44">F33+F34</f>
        <v>3</v>
      </c>
      <c r="G35" s="6">
        <f t="shared" ref="G35" si="45">G33+G34</f>
        <v>15</v>
      </c>
      <c r="H35" s="6">
        <f t="shared" ref="H35" si="46">H33+H34</f>
        <v>5</v>
      </c>
      <c r="I35" s="6">
        <f t="shared" ref="I35" si="47">I33+I34</f>
        <v>10</v>
      </c>
      <c r="J35" s="6">
        <f t="shared" ref="J35" si="48">J33+J34</f>
        <v>10</v>
      </c>
    </row>
    <row r="36" spans="1:11" hidden="1" x14ac:dyDescent="0.25">
      <c r="B36" s="6" t="s">
        <v>53</v>
      </c>
      <c r="C36" s="6">
        <f t="shared" ref="C36:J36" si="49">RANK(C35,35:35,1)</f>
        <v>3</v>
      </c>
      <c r="D36" s="6">
        <f t="shared" si="49"/>
        <v>4</v>
      </c>
      <c r="E36" s="6">
        <f t="shared" si="49"/>
        <v>7</v>
      </c>
      <c r="F36" s="6">
        <f t="shared" si="49"/>
        <v>1</v>
      </c>
      <c r="G36" s="6">
        <f t="shared" si="49"/>
        <v>8</v>
      </c>
      <c r="H36" s="6">
        <f t="shared" si="49"/>
        <v>2</v>
      </c>
      <c r="I36" s="6">
        <f t="shared" si="49"/>
        <v>5</v>
      </c>
      <c r="J36" s="6">
        <f t="shared" si="49"/>
        <v>5</v>
      </c>
    </row>
    <row r="37" spans="1:11" hidden="1" x14ac:dyDescent="0.25">
      <c r="B37" s="6" t="s">
        <v>52</v>
      </c>
      <c r="C37" s="6" t="str">
        <f t="shared" ref="C37" si="50">IF(C36&gt;C36,"-",IF(C36=C36,"=","+"))</f>
        <v>=</v>
      </c>
      <c r="D37" s="6" t="str">
        <f t="shared" ref="D37" si="51">IF(D36&gt;C36,"-",IF(D36=C36,"=","+"))</f>
        <v>-</v>
      </c>
      <c r="E37" s="6" t="str">
        <f t="shared" ref="E37" si="52">IF(E36&gt;C36,"-",IF(E36=C36,"=","+"))</f>
        <v>-</v>
      </c>
      <c r="F37" s="6" t="str">
        <f t="shared" ref="F37" si="53">IF(F36&gt;C36,"-",IF(F36=C36,"=","+"))</f>
        <v>+</v>
      </c>
      <c r="G37" s="6" t="str">
        <f t="shared" ref="G37" si="54">IF(G36&gt;C36,"-",IF(G36=C36,"=","+"))</f>
        <v>-</v>
      </c>
      <c r="H37" s="6" t="str">
        <f t="shared" ref="H37" si="55">IF(H36&gt;C36,"-",IF(H36=C36,"=","+"))</f>
        <v>+</v>
      </c>
      <c r="I37" s="6" t="str">
        <f t="shared" ref="I37" si="56">IF(I36&gt;C36,"-",IF(I36=C36,"=","+"))</f>
        <v>-</v>
      </c>
      <c r="J37" s="6" t="str">
        <f>IF(J36&gt;C36,"-",IF(J36=C36,"=","+"))</f>
        <v>-</v>
      </c>
    </row>
    <row r="38" spans="1:11" x14ac:dyDescent="0.25">
      <c r="A38" s="6" t="s">
        <v>19</v>
      </c>
      <c r="B38" s="6" t="s">
        <v>12</v>
      </c>
      <c r="C38" s="7">
        <f>辅助表!C13</f>
        <v>628.04986982602668</v>
      </c>
      <c r="D38" s="7">
        <f>辅助表!D13</f>
        <v>666.75971198355751</v>
      </c>
      <c r="E38" s="7">
        <f>辅助表!E13</f>
        <v>604.95730603960828</v>
      </c>
      <c r="F38" s="7">
        <f>辅助表!F13</f>
        <v>615.67127562535518</v>
      </c>
      <c r="G38" s="7">
        <f>辅助表!G13</f>
        <v>644.98690804269006</v>
      </c>
      <c r="H38" s="7">
        <f>辅助表!H13</f>
        <v>614.8699658429357</v>
      </c>
      <c r="I38" s="7">
        <f>辅助表!I13</f>
        <v>603.97892046636991</v>
      </c>
      <c r="J38" s="16">
        <f>辅助表!J13</f>
        <v>603.96236841146867</v>
      </c>
      <c r="K38" s="7"/>
    </row>
    <row r="39" spans="1:11" x14ac:dyDescent="0.25">
      <c r="A39" s="13"/>
      <c r="B39" s="13" t="s">
        <v>13</v>
      </c>
      <c r="C39" s="14">
        <f>辅助表!C14</f>
        <v>5.9044319268231025</v>
      </c>
      <c r="D39" s="14">
        <f>辅助表!D14</f>
        <v>6.3094422785208542</v>
      </c>
      <c r="E39" s="14">
        <f>辅助表!E14</f>
        <v>2.7697521879608074</v>
      </c>
      <c r="F39" s="14">
        <f>辅助表!F14</f>
        <v>5.0863130827952494</v>
      </c>
      <c r="G39" s="14">
        <f>辅助表!G14</f>
        <v>8.9013292830583417</v>
      </c>
      <c r="H39" s="14">
        <f>辅助表!H14</f>
        <v>4.6966603299888519</v>
      </c>
      <c r="I39" s="15">
        <f>辅助表!I14</f>
        <v>1.6536937357186354</v>
      </c>
      <c r="J39" s="14">
        <f>辅助表!J14</f>
        <v>2.6525179097676728</v>
      </c>
      <c r="K39" s="7"/>
    </row>
    <row r="40" spans="1:11" hidden="1" x14ac:dyDescent="0.25">
      <c r="B40" s="6" t="s">
        <v>49</v>
      </c>
      <c r="C40" s="6">
        <f t="shared" ref="C40:J41" si="57">RANK(C38,38:38,1)</f>
        <v>6</v>
      </c>
      <c r="D40" s="6">
        <f t="shared" si="57"/>
        <v>8</v>
      </c>
      <c r="E40" s="6">
        <f t="shared" si="57"/>
        <v>3</v>
      </c>
      <c r="F40" s="6">
        <f t="shared" si="57"/>
        <v>5</v>
      </c>
      <c r="G40" s="6">
        <f t="shared" si="57"/>
        <v>7</v>
      </c>
      <c r="H40" s="6">
        <f t="shared" si="57"/>
        <v>4</v>
      </c>
      <c r="I40" s="6">
        <f t="shared" si="57"/>
        <v>2</v>
      </c>
      <c r="J40" s="6">
        <f t="shared" si="57"/>
        <v>1</v>
      </c>
    </row>
    <row r="41" spans="1:11" hidden="1" x14ac:dyDescent="0.25">
      <c r="B41" s="6" t="s">
        <v>48</v>
      </c>
      <c r="C41" s="6">
        <f t="shared" si="57"/>
        <v>6</v>
      </c>
      <c r="D41" s="6">
        <f t="shared" si="57"/>
        <v>7</v>
      </c>
      <c r="E41" s="6">
        <f t="shared" si="57"/>
        <v>3</v>
      </c>
      <c r="F41" s="6">
        <f t="shared" si="57"/>
        <v>5</v>
      </c>
      <c r="G41" s="6">
        <f t="shared" si="57"/>
        <v>8</v>
      </c>
      <c r="H41" s="6">
        <f t="shared" si="57"/>
        <v>4</v>
      </c>
      <c r="I41" s="6">
        <f t="shared" si="57"/>
        <v>1</v>
      </c>
      <c r="J41" s="6">
        <f t="shared" si="57"/>
        <v>2</v>
      </c>
    </row>
    <row r="42" spans="1:11" hidden="1" x14ac:dyDescent="0.25">
      <c r="B42" s="6" t="s">
        <v>50</v>
      </c>
      <c r="C42" s="6">
        <f t="shared" ref="C42" si="58">C40+C41</f>
        <v>12</v>
      </c>
      <c r="D42" s="6">
        <f t="shared" ref="D42" si="59">D40+D41</f>
        <v>15</v>
      </c>
      <c r="E42" s="6">
        <f t="shared" ref="E42" si="60">E40+E41</f>
        <v>6</v>
      </c>
      <c r="F42" s="6">
        <f t="shared" ref="F42" si="61">F40+F41</f>
        <v>10</v>
      </c>
      <c r="G42" s="6">
        <f t="shared" ref="G42" si="62">G40+G41</f>
        <v>15</v>
      </c>
      <c r="H42" s="6">
        <f t="shared" ref="H42" si="63">H40+H41</f>
        <v>8</v>
      </c>
      <c r="I42" s="6">
        <f t="shared" ref="I42" si="64">I40+I41</f>
        <v>3</v>
      </c>
      <c r="J42" s="6">
        <f t="shared" ref="J42" si="65">J40+J41</f>
        <v>3</v>
      </c>
    </row>
    <row r="43" spans="1:11" hidden="1" x14ac:dyDescent="0.25">
      <c r="B43" s="6" t="s">
        <v>53</v>
      </c>
      <c r="C43" s="6">
        <f t="shared" ref="C43:J43" si="66">RANK(C42,42:42,1)</f>
        <v>6</v>
      </c>
      <c r="D43" s="6">
        <f t="shared" si="66"/>
        <v>7</v>
      </c>
      <c r="E43" s="6">
        <f t="shared" si="66"/>
        <v>3</v>
      </c>
      <c r="F43" s="6">
        <f t="shared" si="66"/>
        <v>5</v>
      </c>
      <c r="G43" s="6">
        <f t="shared" si="66"/>
        <v>7</v>
      </c>
      <c r="H43" s="6">
        <f t="shared" si="66"/>
        <v>4</v>
      </c>
      <c r="I43" s="6">
        <f t="shared" si="66"/>
        <v>1</v>
      </c>
      <c r="J43" s="6">
        <f t="shared" si="66"/>
        <v>1</v>
      </c>
    </row>
    <row r="44" spans="1:11" hidden="1" x14ac:dyDescent="0.25">
      <c r="B44" s="6" t="s">
        <v>52</v>
      </c>
      <c r="C44" s="6" t="str">
        <f t="shared" ref="C44" si="67">IF(C43&gt;C43,"-",IF(C43=C43,"=","+"))</f>
        <v>=</v>
      </c>
      <c r="D44" s="6" t="str">
        <f t="shared" ref="D44" si="68">IF(D43&gt;C43,"-",IF(D43=C43,"=","+"))</f>
        <v>-</v>
      </c>
      <c r="E44" s="6" t="str">
        <f t="shared" ref="E44" si="69">IF(E43&gt;C43,"-",IF(E43=C43,"=","+"))</f>
        <v>+</v>
      </c>
      <c r="F44" s="6" t="str">
        <f t="shared" ref="F44" si="70">IF(F43&gt;C43,"-",IF(F43=C43,"=","+"))</f>
        <v>+</v>
      </c>
      <c r="G44" s="6" t="str">
        <f t="shared" ref="G44" si="71">IF(G43&gt;C43,"-",IF(G43=C43,"=","+"))</f>
        <v>-</v>
      </c>
      <c r="H44" s="6" t="str">
        <f t="shared" ref="H44" si="72">IF(H43&gt;C43,"-",IF(H43=C43,"=","+"))</f>
        <v>+</v>
      </c>
      <c r="I44" s="6" t="str">
        <f t="shared" ref="I44" si="73">IF(I43&gt;C43,"-",IF(I43=C43,"=","+"))</f>
        <v>+</v>
      </c>
      <c r="J44" s="6" t="str">
        <f>IF(J43&gt;C43,"-",IF(J43=C43,"=","+"))</f>
        <v>+</v>
      </c>
    </row>
    <row r="45" spans="1:11" x14ac:dyDescent="0.25">
      <c r="A45" s="6" t="s">
        <v>20</v>
      </c>
      <c r="B45" s="6" t="s">
        <v>12</v>
      </c>
      <c r="C45" s="7">
        <f>辅助表!C15</f>
        <v>1102.5823947959034</v>
      </c>
      <c r="D45" s="7">
        <f>辅助表!D15</f>
        <v>1391.1802144110172</v>
      </c>
      <c r="E45" s="7">
        <f>辅助表!E15</f>
        <v>951.93518219027533</v>
      </c>
      <c r="F45" s="7">
        <f>辅助表!F15</f>
        <v>946.33450734294865</v>
      </c>
      <c r="G45" s="7">
        <f>辅助表!G15</f>
        <v>972.74784304529805</v>
      </c>
      <c r="H45" s="7">
        <f>辅助表!H15</f>
        <v>962.09158377279834</v>
      </c>
      <c r="I45" s="7">
        <f>辅助表!I15</f>
        <v>945.78122226328037</v>
      </c>
      <c r="J45" s="16">
        <f>辅助表!J15</f>
        <v>942.77718926559851</v>
      </c>
      <c r="K45" s="7"/>
    </row>
    <row r="46" spans="1:11" x14ac:dyDescent="0.25">
      <c r="A46" s="13"/>
      <c r="B46" s="13" t="s">
        <v>13</v>
      </c>
      <c r="C46" s="14">
        <f>辅助表!C16</f>
        <v>52.682322162829728</v>
      </c>
      <c r="D46" s="14">
        <f>辅助表!D16</f>
        <v>62.16918902361251</v>
      </c>
      <c r="E46" s="14">
        <f>辅助表!E16</f>
        <v>37.483240651636386</v>
      </c>
      <c r="F46" s="14">
        <f>辅助表!F16</f>
        <v>29.864303522146468</v>
      </c>
      <c r="G46" s="14">
        <f>辅助表!G16</f>
        <v>63.456735404551871</v>
      </c>
      <c r="H46" s="14">
        <f>辅助表!H16</f>
        <v>32.308002642322428</v>
      </c>
      <c r="I46" s="14">
        <f>辅助表!I16</f>
        <v>30.375834185798265</v>
      </c>
      <c r="J46" s="15">
        <f>辅助表!J16</f>
        <v>28.927907032705811</v>
      </c>
      <c r="K46" s="7"/>
    </row>
    <row r="47" spans="1:11" hidden="1" x14ac:dyDescent="0.25">
      <c r="B47" s="6" t="s">
        <v>49</v>
      </c>
      <c r="C47" s="6">
        <f t="shared" ref="C47:J48" si="74">RANK(C45,45:45,1)</f>
        <v>7</v>
      </c>
      <c r="D47" s="6">
        <f t="shared" si="74"/>
        <v>8</v>
      </c>
      <c r="E47" s="6">
        <f t="shared" si="74"/>
        <v>4</v>
      </c>
      <c r="F47" s="6">
        <f t="shared" si="74"/>
        <v>3</v>
      </c>
      <c r="G47" s="6">
        <f t="shared" si="74"/>
        <v>6</v>
      </c>
      <c r="H47" s="6">
        <f t="shared" si="74"/>
        <v>5</v>
      </c>
      <c r="I47" s="6">
        <f t="shared" si="74"/>
        <v>2</v>
      </c>
      <c r="J47" s="6">
        <f t="shared" si="74"/>
        <v>1</v>
      </c>
    </row>
    <row r="48" spans="1:11" hidden="1" x14ac:dyDescent="0.25">
      <c r="B48" s="6" t="s">
        <v>48</v>
      </c>
      <c r="C48" s="6">
        <f t="shared" si="74"/>
        <v>6</v>
      </c>
      <c r="D48" s="6">
        <f t="shared" si="74"/>
        <v>7</v>
      </c>
      <c r="E48" s="6">
        <f t="shared" si="74"/>
        <v>5</v>
      </c>
      <c r="F48" s="6">
        <f t="shared" si="74"/>
        <v>2</v>
      </c>
      <c r="G48" s="6">
        <f t="shared" si="74"/>
        <v>8</v>
      </c>
      <c r="H48" s="6">
        <f t="shared" si="74"/>
        <v>4</v>
      </c>
      <c r="I48" s="6">
        <f t="shared" si="74"/>
        <v>3</v>
      </c>
      <c r="J48" s="6">
        <f t="shared" si="74"/>
        <v>1</v>
      </c>
    </row>
    <row r="49" spans="1:11" hidden="1" x14ac:dyDescent="0.25">
      <c r="B49" s="6" t="s">
        <v>50</v>
      </c>
      <c r="C49" s="6">
        <f t="shared" ref="C49" si="75">C47+C48</f>
        <v>13</v>
      </c>
      <c r="D49" s="6">
        <f t="shared" ref="D49" si="76">D47+D48</f>
        <v>15</v>
      </c>
      <c r="E49" s="6">
        <f t="shared" ref="E49" si="77">E47+E48</f>
        <v>9</v>
      </c>
      <c r="F49" s="6">
        <f t="shared" ref="F49" si="78">F47+F48</f>
        <v>5</v>
      </c>
      <c r="G49" s="6">
        <f t="shared" ref="G49" si="79">G47+G48</f>
        <v>14</v>
      </c>
      <c r="H49" s="6">
        <f t="shared" ref="H49" si="80">H47+H48</f>
        <v>9</v>
      </c>
      <c r="I49" s="6">
        <f t="shared" ref="I49" si="81">I47+I48</f>
        <v>5</v>
      </c>
      <c r="J49" s="6">
        <f t="shared" ref="J49" si="82">J47+J48</f>
        <v>2</v>
      </c>
    </row>
    <row r="50" spans="1:11" hidden="1" x14ac:dyDescent="0.25">
      <c r="B50" s="6" t="s">
        <v>53</v>
      </c>
      <c r="C50" s="6">
        <f t="shared" ref="C50:J50" si="83">RANK(C49,49:49,1)</f>
        <v>6</v>
      </c>
      <c r="D50" s="6">
        <f t="shared" si="83"/>
        <v>8</v>
      </c>
      <c r="E50" s="6">
        <f t="shared" si="83"/>
        <v>4</v>
      </c>
      <c r="F50" s="6">
        <f t="shared" si="83"/>
        <v>2</v>
      </c>
      <c r="G50" s="6">
        <f t="shared" si="83"/>
        <v>7</v>
      </c>
      <c r="H50" s="6">
        <f t="shared" si="83"/>
        <v>4</v>
      </c>
      <c r="I50" s="6">
        <f t="shared" si="83"/>
        <v>2</v>
      </c>
      <c r="J50" s="6">
        <f t="shared" si="83"/>
        <v>1</v>
      </c>
    </row>
    <row r="51" spans="1:11" hidden="1" x14ac:dyDescent="0.25">
      <c r="B51" s="6" t="s">
        <v>52</v>
      </c>
      <c r="C51" s="6" t="str">
        <f t="shared" ref="C51" si="84">IF(C50&gt;C50,"-",IF(C50=C50,"=","+"))</f>
        <v>=</v>
      </c>
      <c r="D51" s="6" t="str">
        <f t="shared" ref="D51" si="85">IF(D50&gt;C50,"-",IF(D50=C50,"=","+"))</f>
        <v>-</v>
      </c>
      <c r="E51" s="6" t="str">
        <f t="shared" ref="E51" si="86">IF(E50&gt;C50,"-",IF(E50=C50,"=","+"))</f>
        <v>+</v>
      </c>
      <c r="F51" s="6" t="str">
        <f t="shared" ref="F51" si="87">IF(F50&gt;C50,"-",IF(F50=C50,"=","+"))</f>
        <v>+</v>
      </c>
      <c r="G51" s="6" t="str">
        <f t="shared" ref="G51" si="88">IF(G50&gt;C50,"-",IF(G50=C50,"=","+"))</f>
        <v>-</v>
      </c>
      <c r="H51" s="6" t="str">
        <f t="shared" ref="H51" si="89">IF(H50&gt;C50,"-",IF(H50=C50,"=","+"))</f>
        <v>+</v>
      </c>
      <c r="I51" s="6" t="str">
        <f t="shared" ref="I51" si="90">IF(I50&gt;C50,"-",IF(I50=C50,"=","+"))</f>
        <v>+</v>
      </c>
      <c r="J51" s="6" t="str">
        <f>IF(J50&gt;C50,"-",IF(J50=C50,"=","+"))</f>
        <v>+</v>
      </c>
    </row>
    <row r="52" spans="1:11" x14ac:dyDescent="0.25">
      <c r="A52" s="6" t="s">
        <v>21</v>
      </c>
      <c r="B52" s="6" t="s">
        <v>12</v>
      </c>
      <c r="C52" s="7">
        <f>辅助表!C17</f>
        <v>923.89283010129759</v>
      </c>
      <c r="D52" s="7">
        <f>辅助表!D17</f>
        <v>1179.0605378127264</v>
      </c>
      <c r="E52" s="7">
        <f>辅助表!E17</f>
        <v>946.61106526773074</v>
      </c>
      <c r="F52" s="16">
        <f>辅助表!F17</f>
        <v>897.10227831958878</v>
      </c>
      <c r="G52" s="7">
        <f>辅助表!G17</f>
        <v>1082.1297229205763</v>
      </c>
      <c r="H52" s="7">
        <f>辅助表!H17</f>
        <v>896.92842545718065</v>
      </c>
      <c r="I52" s="7">
        <f>辅助表!I17</f>
        <v>942.05985155719384</v>
      </c>
      <c r="J52" s="7">
        <f>辅助表!J17</f>
        <v>939.91691365364227</v>
      </c>
      <c r="K52" s="7"/>
    </row>
    <row r="53" spans="1:11" x14ac:dyDescent="0.25">
      <c r="A53" s="13"/>
      <c r="B53" s="13" t="s">
        <v>13</v>
      </c>
      <c r="C53" s="14">
        <f>辅助表!C18</f>
        <v>28.026478164066795</v>
      </c>
      <c r="D53" s="15">
        <f>辅助表!D18</f>
        <v>10.178010832881235</v>
      </c>
      <c r="E53" s="14">
        <f>辅助表!E18</f>
        <v>39.176027862685601</v>
      </c>
      <c r="F53" s="14">
        <f>辅助表!F18</f>
        <v>21.451869630336272</v>
      </c>
      <c r="G53" s="14">
        <f>辅助表!G18</f>
        <v>55.934659467906719</v>
      </c>
      <c r="H53" s="14">
        <f>辅助表!H18</f>
        <v>24.19491168984975</v>
      </c>
      <c r="I53" s="14">
        <f>辅助表!I18</f>
        <v>28.487562005706032</v>
      </c>
      <c r="J53" s="14">
        <f>辅助表!J18</f>
        <v>35.827592745913655</v>
      </c>
      <c r="K53" s="7"/>
    </row>
    <row r="54" spans="1:11" hidden="1" x14ac:dyDescent="0.25">
      <c r="B54" s="6" t="s">
        <v>49</v>
      </c>
      <c r="C54" s="6">
        <f t="shared" ref="C54:J55" si="91">RANK(C52,52:52,1)</f>
        <v>3</v>
      </c>
      <c r="D54" s="6">
        <f t="shared" si="91"/>
        <v>8</v>
      </c>
      <c r="E54" s="6">
        <f t="shared" si="91"/>
        <v>6</v>
      </c>
      <c r="F54" s="6">
        <f t="shared" si="91"/>
        <v>2</v>
      </c>
      <c r="G54" s="6">
        <f t="shared" si="91"/>
        <v>7</v>
      </c>
      <c r="H54" s="6">
        <f t="shared" si="91"/>
        <v>1</v>
      </c>
      <c r="I54" s="6">
        <f t="shared" si="91"/>
        <v>5</v>
      </c>
      <c r="J54" s="6">
        <f t="shared" si="91"/>
        <v>4</v>
      </c>
    </row>
    <row r="55" spans="1:11" hidden="1" x14ac:dyDescent="0.25">
      <c r="B55" s="6" t="s">
        <v>48</v>
      </c>
      <c r="C55" s="6">
        <f t="shared" si="91"/>
        <v>4</v>
      </c>
      <c r="D55" s="6">
        <f t="shared" si="91"/>
        <v>1</v>
      </c>
      <c r="E55" s="6">
        <f t="shared" si="91"/>
        <v>7</v>
      </c>
      <c r="F55" s="6">
        <f t="shared" si="91"/>
        <v>2</v>
      </c>
      <c r="G55" s="6">
        <f t="shared" si="91"/>
        <v>8</v>
      </c>
      <c r="H55" s="6">
        <f t="shared" si="91"/>
        <v>3</v>
      </c>
      <c r="I55" s="6">
        <f t="shared" si="91"/>
        <v>5</v>
      </c>
      <c r="J55" s="6">
        <f t="shared" si="91"/>
        <v>6</v>
      </c>
    </row>
    <row r="56" spans="1:11" hidden="1" x14ac:dyDescent="0.25">
      <c r="B56" s="6" t="s">
        <v>50</v>
      </c>
      <c r="C56" s="6">
        <f t="shared" ref="C56" si="92">C54+C55</f>
        <v>7</v>
      </c>
      <c r="D56" s="6">
        <f t="shared" ref="D56" si="93">D54+D55</f>
        <v>9</v>
      </c>
      <c r="E56" s="6">
        <f t="shared" ref="E56" si="94">E54+E55</f>
        <v>13</v>
      </c>
      <c r="F56" s="6">
        <f t="shared" ref="F56" si="95">F54+F55</f>
        <v>4</v>
      </c>
      <c r="G56" s="6">
        <f t="shared" ref="G56" si="96">G54+G55</f>
        <v>15</v>
      </c>
      <c r="H56" s="6">
        <f t="shared" ref="H56" si="97">H54+H55</f>
        <v>4</v>
      </c>
      <c r="I56" s="6">
        <f t="shared" ref="I56" si="98">I54+I55</f>
        <v>10</v>
      </c>
      <c r="J56" s="6">
        <f t="shared" ref="J56" si="99">J54+J55</f>
        <v>10</v>
      </c>
    </row>
    <row r="57" spans="1:11" hidden="1" x14ac:dyDescent="0.25">
      <c r="B57" s="6" t="s">
        <v>53</v>
      </c>
      <c r="C57" s="6">
        <f t="shared" ref="C57:J57" si="100">RANK(C56,56:56,1)</f>
        <v>3</v>
      </c>
      <c r="D57" s="6">
        <f t="shared" si="100"/>
        <v>4</v>
      </c>
      <c r="E57" s="6">
        <f t="shared" si="100"/>
        <v>7</v>
      </c>
      <c r="F57" s="6">
        <f t="shared" si="100"/>
        <v>1</v>
      </c>
      <c r="G57" s="6">
        <f t="shared" si="100"/>
        <v>8</v>
      </c>
      <c r="H57" s="6">
        <f t="shared" si="100"/>
        <v>1</v>
      </c>
      <c r="I57" s="6">
        <f t="shared" si="100"/>
        <v>5</v>
      </c>
      <c r="J57" s="6">
        <f t="shared" si="100"/>
        <v>5</v>
      </c>
    </row>
    <row r="58" spans="1:11" hidden="1" x14ac:dyDescent="0.25">
      <c r="B58" s="6" t="s">
        <v>52</v>
      </c>
      <c r="C58" s="6" t="str">
        <f t="shared" ref="C58" si="101">IF(C57&gt;C57,"-",IF(C57=C57,"=","+"))</f>
        <v>=</v>
      </c>
      <c r="D58" s="6" t="str">
        <f t="shared" ref="D58" si="102">IF(D57&gt;C57,"-",IF(D57=C57,"=","+"))</f>
        <v>-</v>
      </c>
      <c r="E58" s="6" t="str">
        <f t="shared" ref="E58" si="103">IF(E57&gt;C57,"-",IF(E57=C57,"=","+"))</f>
        <v>-</v>
      </c>
      <c r="F58" s="6" t="str">
        <f t="shared" ref="F58" si="104">IF(F57&gt;C57,"-",IF(F57=C57,"=","+"))</f>
        <v>+</v>
      </c>
      <c r="G58" s="6" t="str">
        <f t="shared" ref="G58" si="105">IF(G57&gt;C57,"-",IF(G57=C57,"=","+"))</f>
        <v>-</v>
      </c>
      <c r="H58" s="6" t="str">
        <f t="shared" ref="H58" si="106">IF(H57&gt;C57,"-",IF(H57=C57,"=","+"))</f>
        <v>+</v>
      </c>
      <c r="I58" s="6" t="str">
        <f t="shared" ref="I58" si="107">IF(I57&gt;C57,"-",IF(I57=C57,"=","+"))</f>
        <v>-</v>
      </c>
      <c r="J58" s="6" t="str">
        <f>IF(J57&gt;C57,"-",IF(J57=C57,"=","+"))</f>
        <v>-</v>
      </c>
    </row>
    <row r="59" spans="1:11" x14ac:dyDescent="0.25">
      <c r="A59" s="6" t="s">
        <v>22</v>
      </c>
      <c r="B59" s="6" t="s">
        <v>12</v>
      </c>
      <c r="C59" s="7">
        <f>辅助表!C19</f>
        <v>4782.312954268732</v>
      </c>
      <c r="D59" s="7">
        <f>辅助表!D19</f>
        <v>12050.806577489107</v>
      </c>
      <c r="E59" s="7">
        <f>辅助表!E19</f>
        <v>1670.6830701866088</v>
      </c>
      <c r="F59" s="7">
        <f>辅助表!F19</f>
        <v>1970.4049553250593</v>
      </c>
      <c r="G59" s="7">
        <f>辅助表!G19</f>
        <v>11931.686460202885</v>
      </c>
      <c r="H59" s="7">
        <f>辅助表!H19</f>
        <v>1952.8275335244191</v>
      </c>
      <c r="I59" s="16">
        <f>辅助表!I19</f>
        <v>1344.0778906949179</v>
      </c>
      <c r="J59" s="7">
        <f>辅助表!J19</f>
        <v>1346.5581639329307</v>
      </c>
      <c r="K59" s="7"/>
    </row>
    <row r="60" spans="1:11" x14ac:dyDescent="0.25">
      <c r="A60" s="13"/>
      <c r="B60" s="13" t="s">
        <v>13</v>
      </c>
      <c r="C60" s="14">
        <f>辅助表!C20</f>
        <v>1433.0722825031246</v>
      </c>
      <c r="D60" s="14">
        <f>辅助表!D20</f>
        <v>1162.5028628862906</v>
      </c>
      <c r="E60" s="14">
        <f>辅助表!E20</f>
        <v>512.83792441000207</v>
      </c>
      <c r="F60" s="14">
        <f>辅助表!F20</f>
        <v>489.69269117252099</v>
      </c>
      <c r="G60" s="14">
        <f>辅助表!G20</f>
        <v>1612.9628892228957</v>
      </c>
      <c r="H60" s="14">
        <f>辅助表!H20</f>
        <v>571.55852919058134</v>
      </c>
      <c r="I60" s="14">
        <f>辅助表!I20</f>
        <v>448.55359311079798</v>
      </c>
      <c r="J60" s="15">
        <f>辅助表!J20</f>
        <v>318.64074511551144</v>
      </c>
      <c r="K60" s="7"/>
    </row>
    <row r="61" spans="1:11" hidden="1" x14ac:dyDescent="0.25">
      <c r="B61" s="6" t="s">
        <v>49</v>
      </c>
      <c r="C61" s="6">
        <f t="shared" ref="C61:J62" si="108">RANK(C59,59:59,1)</f>
        <v>6</v>
      </c>
      <c r="D61" s="6">
        <f t="shared" si="108"/>
        <v>8</v>
      </c>
      <c r="E61" s="6">
        <f t="shared" si="108"/>
        <v>3</v>
      </c>
      <c r="F61" s="6">
        <f t="shared" si="108"/>
        <v>5</v>
      </c>
      <c r="G61" s="6">
        <f t="shared" si="108"/>
        <v>7</v>
      </c>
      <c r="H61" s="6">
        <f t="shared" si="108"/>
        <v>4</v>
      </c>
      <c r="I61" s="6">
        <f t="shared" si="108"/>
        <v>1</v>
      </c>
      <c r="J61" s="6">
        <f t="shared" si="108"/>
        <v>2</v>
      </c>
    </row>
    <row r="62" spans="1:11" hidden="1" x14ac:dyDescent="0.25">
      <c r="B62" s="6" t="s">
        <v>48</v>
      </c>
      <c r="C62" s="6">
        <f t="shared" si="108"/>
        <v>7</v>
      </c>
      <c r="D62" s="6">
        <f t="shared" si="108"/>
        <v>6</v>
      </c>
      <c r="E62" s="6">
        <f t="shared" si="108"/>
        <v>4</v>
      </c>
      <c r="F62" s="6">
        <f t="shared" si="108"/>
        <v>3</v>
      </c>
      <c r="G62" s="6">
        <f t="shared" si="108"/>
        <v>8</v>
      </c>
      <c r="H62" s="6">
        <f t="shared" si="108"/>
        <v>5</v>
      </c>
      <c r="I62" s="6">
        <f t="shared" si="108"/>
        <v>2</v>
      </c>
      <c r="J62" s="6">
        <f t="shared" si="108"/>
        <v>1</v>
      </c>
    </row>
    <row r="63" spans="1:11" hidden="1" x14ac:dyDescent="0.25">
      <c r="B63" s="6" t="s">
        <v>50</v>
      </c>
      <c r="C63" s="6">
        <f t="shared" ref="C63" si="109">C61+C62</f>
        <v>13</v>
      </c>
      <c r="D63" s="6">
        <f t="shared" ref="D63" si="110">D61+D62</f>
        <v>14</v>
      </c>
      <c r="E63" s="6">
        <f t="shared" ref="E63" si="111">E61+E62</f>
        <v>7</v>
      </c>
      <c r="F63" s="6">
        <f t="shared" ref="F63" si="112">F61+F62</f>
        <v>8</v>
      </c>
      <c r="G63" s="6">
        <f t="shared" ref="G63" si="113">G61+G62</f>
        <v>15</v>
      </c>
      <c r="H63" s="6">
        <f t="shared" ref="H63" si="114">H61+H62</f>
        <v>9</v>
      </c>
      <c r="I63" s="6">
        <f t="shared" ref="I63" si="115">I61+I62</f>
        <v>3</v>
      </c>
      <c r="J63" s="6">
        <f t="shared" ref="J63" si="116">J61+J62</f>
        <v>3</v>
      </c>
    </row>
    <row r="64" spans="1:11" hidden="1" x14ac:dyDescent="0.25">
      <c r="B64" s="6" t="s">
        <v>53</v>
      </c>
      <c r="C64" s="6">
        <f t="shared" ref="C64:J64" si="117">RANK(C63,63:63,1)</f>
        <v>6</v>
      </c>
      <c r="D64" s="6">
        <f t="shared" si="117"/>
        <v>7</v>
      </c>
      <c r="E64" s="6">
        <f t="shared" si="117"/>
        <v>3</v>
      </c>
      <c r="F64" s="6">
        <f t="shared" si="117"/>
        <v>4</v>
      </c>
      <c r="G64" s="6">
        <f t="shared" si="117"/>
        <v>8</v>
      </c>
      <c r="H64" s="6">
        <f t="shared" si="117"/>
        <v>5</v>
      </c>
      <c r="I64" s="6">
        <f t="shared" si="117"/>
        <v>1</v>
      </c>
      <c r="J64" s="6">
        <f t="shared" si="117"/>
        <v>1</v>
      </c>
    </row>
    <row r="65" spans="1:11" hidden="1" x14ac:dyDescent="0.25">
      <c r="B65" s="6" t="s">
        <v>52</v>
      </c>
      <c r="C65" s="6" t="str">
        <f t="shared" ref="C65" si="118">IF(C64&gt;C64,"-",IF(C64=C64,"=","+"))</f>
        <v>=</v>
      </c>
      <c r="D65" s="6" t="str">
        <f t="shared" ref="D65" si="119">IF(D64&gt;C64,"-",IF(D64=C64,"=","+"))</f>
        <v>-</v>
      </c>
      <c r="E65" s="6" t="str">
        <f t="shared" ref="E65" si="120">IF(E64&gt;C64,"-",IF(E64=C64,"=","+"))</f>
        <v>+</v>
      </c>
      <c r="F65" s="6" t="str">
        <f t="shared" ref="F65" si="121">IF(F64&gt;C64,"-",IF(F64=C64,"=","+"))</f>
        <v>+</v>
      </c>
      <c r="G65" s="6" t="str">
        <f t="shared" ref="G65" si="122">IF(G64&gt;C64,"-",IF(G64=C64,"=","+"))</f>
        <v>-</v>
      </c>
      <c r="H65" s="6" t="str">
        <f t="shared" ref="H65" si="123">IF(H64&gt;C64,"-",IF(H64=C64,"=","+"))</f>
        <v>+</v>
      </c>
      <c r="I65" s="6" t="str">
        <f t="shared" ref="I65" si="124">IF(I64&gt;C64,"-",IF(I64=C64,"=","+"))</f>
        <v>+</v>
      </c>
      <c r="J65" s="6" t="str">
        <f>IF(J64&gt;C64,"-",IF(J64=C64,"=","+"))</f>
        <v>+</v>
      </c>
    </row>
    <row r="66" spans="1:11" x14ac:dyDescent="0.25">
      <c r="A66" s="6" t="s">
        <v>23</v>
      </c>
      <c r="B66" s="6" t="s">
        <v>12</v>
      </c>
      <c r="C66" s="7">
        <f>辅助表!C21</f>
        <v>8160.2524208783261</v>
      </c>
      <c r="D66" s="16">
        <f>辅助表!D21</f>
        <v>5719.4171321104977</v>
      </c>
      <c r="E66" s="7">
        <f>辅助表!E21</f>
        <v>8387.4080145948192</v>
      </c>
      <c r="F66" s="7">
        <f>辅助表!F21</f>
        <v>8585.0957786371036</v>
      </c>
      <c r="G66" s="7">
        <f>辅助表!G21</f>
        <v>6210.003988637397</v>
      </c>
      <c r="H66" s="7">
        <f>辅助表!H21</f>
        <v>8749.0583742623476</v>
      </c>
      <c r="I66" s="7">
        <f>辅助表!I21</f>
        <v>8554.8877262763017</v>
      </c>
      <c r="J66" s="7">
        <f>辅助表!J21</f>
        <v>8557.1374368140041</v>
      </c>
      <c r="K66" s="7"/>
    </row>
    <row r="67" spans="1:11" x14ac:dyDescent="0.25">
      <c r="A67" s="13"/>
      <c r="B67" s="13" t="s">
        <v>13</v>
      </c>
      <c r="C67" s="14">
        <f>辅助表!C22</f>
        <v>972.19868846285522</v>
      </c>
      <c r="D67" s="14">
        <f>辅助表!D22</f>
        <v>910.58896786156595</v>
      </c>
      <c r="E67" s="14">
        <f>辅助表!E22</f>
        <v>636.71530855857293</v>
      </c>
      <c r="F67" s="14">
        <f>辅助表!F22</f>
        <v>364.79502899521219</v>
      </c>
      <c r="G67" s="14">
        <f>辅助表!G22</f>
        <v>1092.4419547801203</v>
      </c>
      <c r="H67" s="15">
        <f>辅助表!H22</f>
        <v>257.01321084392163</v>
      </c>
      <c r="I67" s="14">
        <f>辅助表!I22</f>
        <v>350.19643241777504</v>
      </c>
      <c r="J67" s="14">
        <f>辅助表!J22</f>
        <v>491.54594660055915</v>
      </c>
      <c r="K67" s="7"/>
    </row>
    <row r="68" spans="1:11" hidden="1" x14ac:dyDescent="0.25">
      <c r="B68" s="6" t="s">
        <v>49</v>
      </c>
      <c r="C68" s="6">
        <f t="shared" ref="C68:J69" si="125">RANK(C66,66:66,1)</f>
        <v>3</v>
      </c>
      <c r="D68" s="6">
        <f t="shared" si="125"/>
        <v>1</v>
      </c>
      <c r="E68" s="6">
        <f t="shared" si="125"/>
        <v>4</v>
      </c>
      <c r="F68" s="6">
        <f t="shared" si="125"/>
        <v>7</v>
      </c>
      <c r="G68" s="6">
        <f t="shared" si="125"/>
        <v>2</v>
      </c>
      <c r="H68" s="6">
        <f t="shared" si="125"/>
        <v>8</v>
      </c>
      <c r="I68" s="6">
        <f t="shared" si="125"/>
        <v>5</v>
      </c>
      <c r="J68" s="6">
        <f t="shared" si="125"/>
        <v>6</v>
      </c>
    </row>
    <row r="69" spans="1:11" hidden="1" x14ac:dyDescent="0.25">
      <c r="B69" s="6" t="s">
        <v>48</v>
      </c>
      <c r="C69" s="6">
        <f t="shared" si="125"/>
        <v>7</v>
      </c>
      <c r="D69" s="6">
        <f t="shared" si="125"/>
        <v>6</v>
      </c>
      <c r="E69" s="6">
        <f t="shared" si="125"/>
        <v>5</v>
      </c>
      <c r="F69" s="6">
        <f t="shared" si="125"/>
        <v>3</v>
      </c>
      <c r="G69" s="6">
        <f t="shared" si="125"/>
        <v>8</v>
      </c>
      <c r="H69" s="6">
        <f t="shared" si="125"/>
        <v>1</v>
      </c>
      <c r="I69" s="6">
        <f t="shared" si="125"/>
        <v>2</v>
      </c>
      <c r="J69" s="6">
        <f t="shared" si="125"/>
        <v>4</v>
      </c>
    </row>
    <row r="70" spans="1:11" hidden="1" x14ac:dyDescent="0.25">
      <c r="B70" s="6" t="s">
        <v>50</v>
      </c>
      <c r="C70" s="6">
        <f t="shared" ref="C70" si="126">C68+C69</f>
        <v>10</v>
      </c>
      <c r="D70" s="6">
        <f t="shared" ref="D70" si="127">D68+D69</f>
        <v>7</v>
      </c>
      <c r="E70" s="6">
        <f t="shared" ref="E70" si="128">E68+E69</f>
        <v>9</v>
      </c>
      <c r="F70" s="6">
        <f t="shared" ref="F70" si="129">F68+F69</f>
        <v>10</v>
      </c>
      <c r="G70" s="6">
        <f t="shared" ref="G70" si="130">G68+G69</f>
        <v>10</v>
      </c>
      <c r="H70" s="6">
        <f t="shared" ref="H70" si="131">H68+H69</f>
        <v>9</v>
      </c>
      <c r="I70" s="6">
        <f t="shared" ref="I70" si="132">I68+I69</f>
        <v>7</v>
      </c>
      <c r="J70" s="6">
        <f t="shared" ref="J70" si="133">J68+J69</f>
        <v>10</v>
      </c>
    </row>
    <row r="71" spans="1:11" hidden="1" x14ac:dyDescent="0.25">
      <c r="B71" s="6" t="s">
        <v>53</v>
      </c>
      <c r="C71" s="6">
        <f t="shared" ref="C71:J71" si="134">RANK(C70,70:70,1)</f>
        <v>5</v>
      </c>
      <c r="D71" s="6">
        <f t="shared" si="134"/>
        <v>1</v>
      </c>
      <c r="E71" s="6">
        <f t="shared" si="134"/>
        <v>3</v>
      </c>
      <c r="F71" s="6">
        <f t="shared" si="134"/>
        <v>5</v>
      </c>
      <c r="G71" s="6">
        <f t="shared" si="134"/>
        <v>5</v>
      </c>
      <c r="H71" s="6">
        <f t="shared" si="134"/>
        <v>3</v>
      </c>
      <c r="I71" s="6">
        <f t="shared" si="134"/>
        <v>1</v>
      </c>
      <c r="J71" s="6">
        <f t="shared" si="134"/>
        <v>5</v>
      </c>
    </row>
    <row r="72" spans="1:11" hidden="1" x14ac:dyDescent="0.25">
      <c r="B72" s="6" t="s">
        <v>52</v>
      </c>
      <c r="C72" s="6" t="str">
        <f t="shared" ref="C72" si="135">IF(C71&gt;C71,"-",IF(C71=C71,"=","+"))</f>
        <v>=</v>
      </c>
      <c r="D72" s="6" t="str">
        <f t="shared" ref="D72" si="136">IF(D71&gt;C71,"-",IF(D71=C71,"=","+"))</f>
        <v>+</v>
      </c>
      <c r="E72" s="6" t="str">
        <f t="shared" ref="E72" si="137">IF(E71&gt;C71,"-",IF(E71=C71,"=","+"))</f>
        <v>+</v>
      </c>
      <c r="F72" s="6" t="str">
        <f t="shared" ref="F72" si="138">IF(F71&gt;C71,"-",IF(F71=C71,"=","+"))</f>
        <v>=</v>
      </c>
      <c r="G72" s="6" t="str">
        <f t="shared" ref="G72" si="139">IF(G71&gt;C71,"-",IF(G71=C71,"=","+"))</f>
        <v>=</v>
      </c>
      <c r="H72" s="6" t="str">
        <f t="shared" ref="H72" si="140">IF(H71&gt;C71,"-",IF(H71=C71,"=","+"))</f>
        <v>+</v>
      </c>
      <c r="I72" s="6" t="str">
        <f t="shared" ref="I72" si="141">IF(I71&gt;C71,"-",IF(I71=C71,"=","+"))</f>
        <v>+</v>
      </c>
      <c r="J72" s="6" t="str">
        <f>IF(J71&gt;C71,"-",IF(J71=C71,"=","+"))</f>
        <v>=</v>
      </c>
    </row>
    <row r="73" spans="1:11" x14ac:dyDescent="0.25">
      <c r="A73" s="6" t="s">
        <v>24</v>
      </c>
      <c r="B73" s="6" t="s">
        <v>12</v>
      </c>
      <c r="C73" s="7">
        <f>辅助表!C23</f>
        <v>2137.6326656733286</v>
      </c>
      <c r="D73" s="7">
        <f>辅助表!D23</f>
        <v>8885.0504839793812</v>
      </c>
      <c r="E73" s="7">
        <f>辅助表!E23</f>
        <v>1856.6566120858784</v>
      </c>
      <c r="F73" s="7">
        <f>辅助表!F23</f>
        <v>1897.6677262088722</v>
      </c>
      <c r="G73" s="7">
        <f>辅助表!G23</f>
        <v>2091.084635684595</v>
      </c>
      <c r="H73" s="7">
        <f>辅助表!H23</f>
        <v>1888.9662673802188</v>
      </c>
      <c r="I73" s="7">
        <f>辅助表!I23</f>
        <v>1618.7582551178868</v>
      </c>
      <c r="J73" s="16">
        <f>辅助表!J23</f>
        <v>1603.6773683865467</v>
      </c>
      <c r="K73" s="7"/>
    </row>
    <row r="74" spans="1:11" x14ac:dyDescent="0.25">
      <c r="A74" s="13"/>
      <c r="B74" s="13" t="s">
        <v>13</v>
      </c>
      <c r="C74" s="14">
        <f>辅助表!C24</f>
        <v>410.56216086500569</v>
      </c>
      <c r="D74" s="14">
        <f>辅助表!D24</f>
        <v>3169.6618348634647</v>
      </c>
      <c r="E74" s="14">
        <f>辅助表!E24</f>
        <v>324.21877750523544</v>
      </c>
      <c r="F74" s="14">
        <f>辅助表!F24</f>
        <v>264.97190584609768</v>
      </c>
      <c r="G74" s="14">
        <f>辅助表!G24</f>
        <v>415.48370014167591</v>
      </c>
      <c r="H74" s="14">
        <f>辅助表!H24</f>
        <v>386.98088737276788</v>
      </c>
      <c r="I74" s="14">
        <f>辅助表!I24</f>
        <v>208.62680613826021</v>
      </c>
      <c r="J74" s="15">
        <f>辅助表!J24</f>
        <v>190.37640535776956</v>
      </c>
      <c r="K74" s="7"/>
    </row>
    <row r="75" spans="1:11" hidden="1" x14ac:dyDescent="0.25">
      <c r="B75" s="6" t="s">
        <v>49</v>
      </c>
      <c r="C75" s="6">
        <f t="shared" ref="C75:J76" si="142">RANK(C73,73:73,1)</f>
        <v>7</v>
      </c>
      <c r="D75" s="6">
        <f t="shared" si="142"/>
        <v>8</v>
      </c>
      <c r="E75" s="6">
        <f t="shared" si="142"/>
        <v>3</v>
      </c>
      <c r="F75" s="6">
        <f t="shared" si="142"/>
        <v>5</v>
      </c>
      <c r="G75" s="6">
        <f t="shared" si="142"/>
        <v>6</v>
      </c>
      <c r="H75" s="6">
        <f t="shared" si="142"/>
        <v>4</v>
      </c>
      <c r="I75" s="6">
        <f t="shared" si="142"/>
        <v>2</v>
      </c>
      <c r="J75" s="6">
        <f t="shared" si="142"/>
        <v>1</v>
      </c>
    </row>
    <row r="76" spans="1:11" hidden="1" x14ac:dyDescent="0.25">
      <c r="B76" s="6" t="s">
        <v>48</v>
      </c>
      <c r="C76" s="6">
        <f t="shared" si="142"/>
        <v>6</v>
      </c>
      <c r="D76" s="6">
        <f t="shared" si="142"/>
        <v>8</v>
      </c>
      <c r="E76" s="6">
        <f t="shared" si="142"/>
        <v>4</v>
      </c>
      <c r="F76" s="6">
        <f t="shared" si="142"/>
        <v>3</v>
      </c>
      <c r="G76" s="6">
        <f t="shared" si="142"/>
        <v>7</v>
      </c>
      <c r="H76" s="6">
        <f t="shared" si="142"/>
        <v>5</v>
      </c>
      <c r="I76" s="6">
        <f t="shared" si="142"/>
        <v>2</v>
      </c>
      <c r="J76" s="6">
        <f t="shared" si="142"/>
        <v>1</v>
      </c>
    </row>
    <row r="77" spans="1:11" hidden="1" x14ac:dyDescent="0.25">
      <c r="B77" s="6" t="s">
        <v>50</v>
      </c>
      <c r="C77" s="6">
        <f t="shared" ref="C77" si="143">C75+C76</f>
        <v>13</v>
      </c>
      <c r="D77" s="6">
        <f t="shared" ref="D77" si="144">D75+D76</f>
        <v>16</v>
      </c>
      <c r="E77" s="6">
        <f t="shared" ref="E77" si="145">E75+E76</f>
        <v>7</v>
      </c>
      <c r="F77" s="6">
        <f t="shared" ref="F77" si="146">F75+F76</f>
        <v>8</v>
      </c>
      <c r="G77" s="6">
        <f t="shared" ref="G77" si="147">G75+G76</f>
        <v>13</v>
      </c>
      <c r="H77" s="6">
        <f t="shared" ref="H77" si="148">H75+H76</f>
        <v>9</v>
      </c>
      <c r="I77" s="6">
        <f t="shared" ref="I77" si="149">I75+I76</f>
        <v>4</v>
      </c>
      <c r="J77" s="6">
        <f t="shared" ref="J77" si="150">J75+J76</f>
        <v>2</v>
      </c>
    </row>
    <row r="78" spans="1:11" hidden="1" x14ac:dyDescent="0.25">
      <c r="B78" s="6" t="s">
        <v>53</v>
      </c>
      <c r="C78" s="6">
        <f t="shared" ref="C78:J78" si="151">RANK(C77,77:77,1)</f>
        <v>6</v>
      </c>
      <c r="D78" s="6">
        <f t="shared" si="151"/>
        <v>8</v>
      </c>
      <c r="E78" s="6">
        <f t="shared" si="151"/>
        <v>3</v>
      </c>
      <c r="F78" s="6">
        <f t="shared" si="151"/>
        <v>4</v>
      </c>
      <c r="G78" s="6">
        <f t="shared" si="151"/>
        <v>6</v>
      </c>
      <c r="H78" s="6">
        <f t="shared" si="151"/>
        <v>5</v>
      </c>
      <c r="I78" s="6">
        <f t="shared" si="151"/>
        <v>2</v>
      </c>
      <c r="J78" s="6">
        <f t="shared" si="151"/>
        <v>1</v>
      </c>
    </row>
    <row r="79" spans="1:11" hidden="1" x14ac:dyDescent="0.25">
      <c r="B79" s="6" t="s">
        <v>52</v>
      </c>
      <c r="C79" s="6" t="str">
        <f t="shared" ref="C79" si="152">IF(C78&gt;C78,"-",IF(C78=C78,"=","+"))</f>
        <v>=</v>
      </c>
      <c r="D79" s="6" t="str">
        <f t="shared" ref="D79" si="153">IF(D78&gt;C78,"-",IF(D78=C78,"=","+"))</f>
        <v>-</v>
      </c>
      <c r="E79" s="6" t="str">
        <f t="shared" ref="E79" si="154">IF(E78&gt;C78,"-",IF(E78=C78,"=","+"))</f>
        <v>+</v>
      </c>
      <c r="F79" s="6" t="str">
        <f t="shared" ref="F79" si="155">IF(F78&gt;C78,"-",IF(F78=C78,"=","+"))</f>
        <v>+</v>
      </c>
      <c r="G79" s="6" t="str">
        <f t="shared" ref="G79" si="156">IF(G78&gt;C78,"-",IF(G78=C78,"=","+"))</f>
        <v>=</v>
      </c>
      <c r="H79" s="6" t="str">
        <f t="shared" ref="H79" si="157">IF(H78&gt;C78,"-",IF(H78=C78,"=","+"))</f>
        <v>+</v>
      </c>
      <c r="I79" s="6" t="str">
        <f t="shared" ref="I79" si="158">IF(I78&gt;C78,"-",IF(I78=C78,"=","+"))</f>
        <v>+</v>
      </c>
      <c r="J79" s="6" t="str">
        <f>IF(J78&gt;C78,"-",IF(J78=C78,"=","+"))</f>
        <v>+</v>
      </c>
    </row>
    <row r="80" spans="1:11" x14ac:dyDescent="0.25">
      <c r="A80" s="6" t="s">
        <v>25</v>
      </c>
      <c r="B80" s="6" t="s">
        <v>12</v>
      </c>
      <c r="C80" s="7">
        <f>辅助表!C25</f>
        <v>32267173.715460431</v>
      </c>
      <c r="D80" s="7">
        <f>辅助表!D25</f>
        <v>436715567.59426957</v>
      </c>
      <c r="E80" s="7">
        <f>辅助表!E25</f>
        <v>5196727.3043064829</v>
      </c>
      <c r="F80" s="7">
        <f>辅助表!F25</f>
        <v>20023038.525738236</v>
      </c>
      <c r="G80" s="7">
        <f>辅助表!G25</f>
        <v>8600945.3860351574</v>
      </c>
      <c r="H80" s="7">
        <f>辅助表!H25</f>
        <v>13347706.175344607</v>
      </c>
      <c r="I80" s="16">
        <f>辅助表!I25</f>
        <v>4718036.4001903003</v>
      </c>
      <c r="J80" s="7">
        <f>辅助表!J25</f>
        <v>5369524.4543274334</v>
      </c>
      <c r="K80" s="7"/>
    </row>
    <row r="81" spans="1:11" x14ac:dyDescent="0.25">
      <c r="A81" s="13"/>
      <c r="B81" s="13" t="s">
        <v>13</v>
      </c>
      <c r="C81" s="14">
        <f>辅助表!C26</f>
        <v>30461629.04074046</v>
      </c>
      <c r="D81" s="14">
        <f>辅助表!D26</f>
        <v>365870959.97403079</v>
      </c>
      <c r="E81" s="14">
        <f>辅助表!E26</f>
        <v>4355990.2580207344</v>
      </c>
      <c r="F81" s="14">
        <f>辅助表!F26</f>
        <v>16393447.171530865</v>
      </c>
      <c r="G81" s="14">
        <f>辅助表!G26</f>
        <v>5174653.3684896231</v>
      </c>
      <c r="H81" s="14">
        <f>辅助表!H26</f>
        <v>12281807.362544712</v>
      </c>
      <c r="I81" s="15">
        <f>辅助表!I26</f>
        <v>3324787.679420949</v>
      </c>
      <c r="J81" s="14">
        <f>辅助表!J26</f>
        <v>5863423.8267025892</v>
      </c>
      <c r="K81" s="7"/>
    </row>
    <row r="82" spans="1:11" hidden="1" x14ac:dyDescent="0.25">
      <c r="B82" s="6" t="s">
        <v>49</v>
      </c>
      <c r="C82" s="6">
        <f t="shared" ref="C82:J83" si="159">RANK(C80,80:80,1)</f>
        <v>7</v>
      </c>
      <c r="D82" s="6">
        <f t="shared" si="159"/>
        <v>8</v>
      </c>
      <c r="E82" s="6">
        <f t="shared" si="159"/>
        <v>2</v>
      </c>
      <c r="F82" s="6">
        <f t="shared" si="159"/>
        <v>6</v>
      </c>
      <c r="G82" s="6">
        <f t="shared" si="159"/>
        <v>4</v>
      </c>
      <c r="H82" s="6">
        <f t="shared" si="159"/>
        <v>5</v>
      </c>
      <c r="I82" s="6">
        <f t="shared" si="159"/>
        <v>1</v>
      </c>
      <c r="J82" s="6">
        <f t="shared" si="159"/>
        <v>3</v>
      </c>
    </row>
    <row r="83" spans="1:11" hidden="1" x14ac:dyDescent="0.25">
      <c r="B83" s="6" t="s">
        <v>48</v>
      </c>
      <c r="C83" s="6">
        <f t="shared" si="159"/>
        <v>7</v>
      </c>
      <c r="D83" s="6">
        <f t="shared" si="159"/>
        <v>8</v>
      </c>
      <c r="E83" s="6">
        <f t="shared" si="159"/>
        <v>2</v>
      </c>
      <c r="F83" s="6">
        <f t="shared" si="159"/>
        <v>6</v>
      </c>
      <c r="G83" s="6">
        <f t="shared" si="159"/>
        <v>3</v>
      </c>
      <c r="H83" s="6">
        <f t="shared" si="159"/>
        <v>5</v>
      </c>
      <c r="I83" s="6">
        <f t="shared" si="159"/>
        <v>1</v>
      </c>
      <c r="J83" s="6">
        <f t="shared" si="159"/>
        <v>4</v>
      </c>
    </row>
    <row r="84" spans="1:11" hidden="1" x14ac:dyDescent="0.25">
      <c r="B84" s="6" t="s">
        <v>50</v>
      </c>
      <c r="C84" s="6">
        <f t="shared" ref="C84" si="160">C82+C83</f>
        <v>14</v>
      </c>
      <c r="D84" s="6">
        <f t="shared" ref="D84" si="161">D82+D83</f>
        <v>16</v>
      </c>
      <c r="E84" s="6">
        <f t="shared" ref="E84" si="162">E82+E83</f>
        <v>4</v>
      </c>
      <c r="F84" s="6">
        <f t="shared" ref="F84" si="163">F82+F83</f>
        <v>12</v>
      </c>
      <c r="G84" s="6">
        <f t="shared" ref="G84" si="164">G82+G83</f>
        <v>7</v>
      </c>
      <c r="H84" s="6">
        <f t="shared" ref="H84" si="165">H82+H83</f>
        <v>10</v>
      </c>
      <c r="I84" s="6">
        <f t="shared" ref="I84" si="166">I82+I83</f>
        <v>2</v>
      </c>
      <c r="J84" s="6">
        <f t="shared" ref="J84" si="167">J82+J83</f>
        <v>7</v>
      </c>
    </row>
    <row r="85" spans="1:11" hidden="1" x14ac:dyDescent="0.25">
      <c r="B85" s="6" t="s">
        <v>53</v>
      </c>
      <c r="C85" s="6">
        <f t="shared" ref="C85:J85" si="168">RANK(C84,84:84,1)</f>
        <v>7</v>
      </c>
      <c r="D85" s="6">
        <f t="shared" si="168"/>
        <v>8</v>
      </c>
      <c r="E85" s="6">
        <f t="shared" si="168"/>
        <v>2</v>
      </c>
      <c r="F85" s="6">
        <f t="shared" si="168"/>
        <v>6</v>
      </c>
      <c r="G85" s="6">
        <f t="shared" si="168"/>
        <v>3</v>
      </c>
      <c r="H85" s="6">
        <f t="shared" si="168"/>
        <v>5</v>
      </c>
      <c r="I85" s="6">
        <f t="shared" si="168"/>
        <v>1</v>
      </c>
      <c r="J85" s="6">
        <f t="shared" si="168"/>
        <v>3</v>
      </c>
    </row>
    <row r="86" spans="1:11" hidden="1" x14ac:dyDescent="0.25">
      <c r="B86" s="6" t="s">
        <v>52</v>
      </c>
      <c r="C86" s="6" t="str">
        <f t="shared" ref="C86" si="169">IF(C85&gt;C85,"-",IF(C85=C85,"=","+"))</f>
        <v>=</v>
      </c>
      <c r="D86" s="6" t="str">
        <f t="shared" ref="D86" si="170">IF(D85&gt;C85,"-",IF(D85=C85,"=","+"))</f>
        <v>-</v>
      </c>
      <c r="E86" s="6" t="str">
        <f t="shared" ref="E86" si="171">IF(E85&gt;C85,"-",IF(E85=C85,"=","+"))</f>
        <v>+</v>
      </c>
      <c r="F86" s="6" t="str">
        <f t="shared" ref="F86" si="172">IF(F85&gt;C85,"-",IF(F85=C85,"=","+"))</f>
        <v>+</v>
      </c>
      <c r="G86" s="6" t="str">
        <f t="shared" ref="G86" si="173">IF(G85&gt;C85,"-",IF(G85=C85,"=","+"))</f>
        <v>+</v>
      </c>
      <c r="H86" s="6" t="str">
        <f t="shared" ref="H86" si="174">IF(H85&gt;C85,"-",IF(H85=C85,"=","+"))</f>
        <v>+</v>
      </c>
      <c r="I86" s="6" t="str">
        <f t="shared" ref="I86" si="175">IF(I85&gt;C85,"-",IF(I85=C85,"=","+"))</f>
        <v>+</v>
      </c>
      <c r="J86" s="6" t="str">
        <f>IF(J85&gt;C85,"-",IF(J85=C85,"=","+"))</f>
        <v>+</v>
      </c>
    </row>
    <row r="87" spans="1:11" x14ac:dyDescent="0.25">
      <c r="A87" s="6" t="s">
        <v>26</v>
      </c>
      <c r="B87" s="6" t="s">
        <v>12</v>
      </c>
      <c r="C87" s="7">
        <f>辅助表!C27</f>
        <v>408059.40759967879</v>
      </c>
      <c r="D87" s="7">
        <f>辅助表!D27</f>
        <v>69924136.375512198</v>
      </c>
      <c r="E87" s="7">
        <f>辅助表!E27</f>
        <v>95042.518654016225</v>
      </c>
      <c r="F87" s="7">
        <f>辅助表!F27</f>
        <v>104836.87273449932</v>
      </c>
      <c r="G87" s="7">
        <f>辅助表!G27</f>
        <v>116311.34847370171</v>
      </c>
      <c r="H87" s="7">
        <f>辅助表!H27</f>
        <v>317782.11688857054</v>
      </c>
      <c r="I87" s="16">
        <f>辅助表!I27</f>
        <v>73296.874233939016</v>
      </c>
      <c r="J87" s="7">
        <f>辅助表!J27</f>
        <v>80624.341591199685</v>
      </c>
      <c r="K87" s="7"/>
    </row>
    <row r="88" spans="1:11" x14ac:dyDescent="0.25">
      <c r="A88" s="13"/>
      <c r="B88" s="13" t="s">
        <v>13</v>
      </c>
      <c r="C88" s="14">
        <f>辅助表!C28</f>
        <v>838312.19497439405</v>
      </c>
      <c r="D88" s="14">
        <f>辅助表!D28</f>
        <v>145464467.76232108</v>
      </c>
      <c r="E88" s="14">
        <f>辅助表!E28</f>
        <v>101339.29869838968</v>
      </c>
      <c r="F88" s="14">
        <f>辅助表!F28</f>
        <v>71053.05533819471</v>
      </c>
      <c r="G88" s="14">
        <f>辅助表!G28</f>
        <v>73021.704979988092</v>
      </c>
      <c r="H88" s="14">
        <f>辅助表!H28</f>
        <v>1040408.4582524629</v>
      </c>
      <c r="I88" s="15">
        <f>辅助表!I28</f>
        <v>42385.227277720922</v>
      </c>
      <c r="J88" s="14">
        <f>辅助表!J28</f>
        <v>59224.123808576813</v>
      </c>
      <c r="K88" s="7"/>
    </row>
    <row r="89" spans="1:11" hidden="1" x14ac:dyDescent="0.25">
      <c r="B89" s="6" t="s">
        <v>49</v>
      </c>
      <c r="C89" s="6">
        <f t="shared" ref="C89:J90" si="176">RANK(C87,87:87,1)</f>
        <v>7</v>
      </c>
      <c r="D89" s="6">
        <f t="shared" si="176"/>
        <v>8</v>
      </c>
      <c r="E89" s="6">
        <f t="shared" si="176"/>
        <v>3</v>
      </c>
      <c r="F89" s="6">
        <f t="shared" si="176"/>
        <v>4</v>
      </c>
      <c r="G89" s="6">
        <f t="shared" si="176"/>
        <v>5</v>
      </c>
      <c r="H89" s="6">
        <f t="shared" si="176"/>
        <v>6</v>
      </c>
      <c r="I89" s="6">
        <f t="shared" si="176"/>
        <v>1</v>
      </c>
      <c r="J89" s="6">
        <f t="shared" si="176"/>
        <v>2</v>
      </c>
    </row>
    <row r="90" spans="1:11" hidden="1" x14ac:dyDescent="0.25">
      <c r="B90" s="6" t="s">
        <v>48</v>
      </c>
      <c r="C90" s="6">
        <f t="shared" si="176"/>
        <v>6</v>
      </c>
      <c r="D90" s="6">
        <f t="shared" si="176"/>
        <v>8</v>
      </c>
      <c r="E90" s="6">
        <f t="shared" si="176"/>
        <v>5</v>
      </c>
      <c r="F90" s="6">
        <f t="shared" si="176"/>
        <v>3</v>
      </c>
      <c r="G90" s="6">
        <f t="shared" si="176"/>
        <v>4</v>
      </c>
      <c r="H90" s="6">
        <f t="shared" si="176"/>
        <v>7</v>
      </c>
      <c r="I90" s="6">
        <f t="shared" si="176"/>
        <v>1</v>
      </c>
      <c r="J90" s="6">
        <f t="shared" si="176"/>
        <v>2</v>
      </c>
    </row>
    <row r="91" spans="1:11" hidden="1" x14ac:dyDescent="0.25">
      <c r="B91" s="6" t="s">
        <v>50</v>
      </c>
      <c r="C91" s="6">
        <f t="shared" ref="C91" si="177">C89+C90</f>
        <v>13</v>
      </c>
      <c r="D91" s="6">
        <f t="shared" ref="D91" si="178">D89+D90</f>
        <v>16</v>
      </c>
      <c r="E91" s="6">
        <f t="shared" ref="E91" si="179">E89+E90</f>
        <v>8</v>
      </c>
      <c r="F91" s="6">
        <f t="shared" ref="F91" si="180">F89+F90</f>
        <v>7</v>
      </c>
      <c r="G91" s="6">
        <f t="shared" ref="G91" si="181">G89+G90</f>
        <v>9</v>
      </c>
      <c r="H91" s="6">
        <f t="shared" ref="H91" si="182">H89+H90</f>
        <v>13</v>
      </c>
      <c r="I91" s="6">
        <f t="shared" ref="I91" si="183">I89+I90</f>
        <v>2</v>
      </c>
      <c r="J91" s="6">
        <f t="shared" ref="J91" si="184">J89+J90</f>
        <v>4</v>
      </c>
    </row>
    <row r="92" spans="1:11" hidden="1" x14ac:dyDescent="0.25">
      <c r="B92" s="6" t="s">
        <v>53</v>
      </c>
      <c r="C92" s="6">
        <f t="shared" ref="C92:J92" si="185">RANK(C91,91:91,1)</f>
        <v>6</v>
      </c>
      <c r="D92" s="6">
        <f t="shared" si="185"/>
        <v>8</v>
      </c>
      <c r="E92" s="6">
        <f t="shared" si="185"/>
        <v>4</v>
      </c>
      <c r="F92" s="6">
        <f t="shared" si="185"/>
        <v>3</v>
      </c>
      <c r="G92" s="6">
        <f t="shared" si="185"/>
        <v>5</v>
      </c>
      <c r="H92" s="6">
        <f t="shared" si="185"/>
        <v>6</v>
      </c>
      <c r="I92" s="6">
        <f t="shared" si="185"/>
        <v>1</v>
      </c>
      <c r="J92" s="6">
        <f t="shared" si="185"/>
        <v>2</v>
      </c>
    </row>
    <row r="93" spans="1:11" hidden="1" x14ac:dyDescent="0.25">
      <c r="B93" s="6" t="s">
        <v>52</v>
      </c>
      <c r="C93" s="6" t="str">
        <f t="shared" ref="C93" si="186">IF(C92&gt;C92,"-",IF(C92=C92,"=","+"))</f>
        <v>=</v>
      </c>
      <c r="D93" s="6" t="str">
        <f t="shared" ref="D93" si="187">IF(D92&gt;C92,"-",IF(D92=C92,"=","+"))</f>
        <v>-</v>
      </c>
      <c r="E93" s="6" t="str">
        <f t="shared" ref="E93" si="188">IF(E92&gt;C92,"-",IF(E92=C92,"=","+"))</f>
        <v>+</v>
      </c>
      <c r="F93" s="6" t="str">
        <f t="shared" ref="F93" si="189">IF(F92&gt;C92,"-",IF(F92=C92,"=","+"))</f>
        <v>+</v>
      </c>
      <c r="G93" s="6" t="str">
        <f t="shared" ref="G93" si="190">IF(G92&gt;C92,"-",IF(G92=C92,"=","+"))</f>
        <v>+</v>
      </c>
      <c r="H93" s="6" t="str">
        <f t="shared" ref="H93" si="191">IF(H92&gt;C92,"-",IF(H92=C92,"=","+"))</f>
        <v>=</v>
      </c>
      <c r="I93" s="6" t="str">
        <f t="shared" ref="I93" si="192">IF(I92&gt;C92,"-",IF(I92=C92,"=","+"))</f>
        <v>+</v>
      </c>
      <c r="J93" s="6" t="str">
        <f>IF(J92&gt;C92,"-",IF(J92=C92,"=","+"))</f>
        <v>+</v>
      </c>
    </row>
    <row r="94" spans="1:11" x14ac:dyDescent="0.25">
      <c r="A94" s="6" t="s">
        <v>27</v>
      </c>
      <c r="B94" s="6" t="s">
        <v>12</v>
      </c>
      <c r="C94" s="7">
        <f>辅助表!C29</f>
        <v>233681.28528065965</v>
      </c>
      <c r="D94" s="7">
        <f>辅助表!D29</f>
        <v>367097.96313236753</v>
      </c>
      <c r="E94" s="7">
        <f>辅助表!E29</f>
        <v>110701.64967535094</v>
      </c>
      <c r="F94" s="7">
        <f>辅助表!F29</f>
        <v>234324.86882374901</v>
      </c>
      <c r="G94" s="7">
        <f>辅助表!G29</f>
        <v>283622.67016970884</v>
      </c>
      <c r="H94" s="7">
        <f>辅助表!H29</f>
        <v>177834.42694201591</v>
      </c>
      <c r="I94" s="7">
        <f>辅助表!I29</f>
        <v>111347.19040157602</v>
      </c>
      <c r="J94" s="16">
        <f>辅助表!J29</f>
        <v>80498.639259890318</v>
      </c>
      <c r="K94" s="7"/>
    </row>
    <row r="95" spans="1:11" x14ac:dyDescent="0.25">
      <c r="A95" s="13"/>
      <c r="B95" s="13" t="s">
        <v>13</v>
      </c>
      <c r="C95" s="14">
        <f>辅助表!C30</f>
        <v>236405.89942772593</v>
      </c>
      <c r="D95" s="14">
        <f>辅助表!D30</f>
        <v>463369.603082327</v>
      </c>
      <c r="E95" s="14">
        <f>辅助表!E30</f>
        <v>100674.94604824223</v>
      </c>
      <c r="F95" s="14">
        <f>辅助表!F30</f>
        <v>304715.02238907933</v>
      </c>
      <c r="G95" s="14">
        <f>辅助表!G30</f>
        <v>263335.66954038967</v>
      </c>
      <c r="H95" s="14">
        <f>辅助表!H30</f>
        <v>199903.37276832873</v>
      </c>
      <c r="I95" s="14">
        <f>辅助表!I30</f>
        <v>113439.53422885953</v>
      </c>
      <c r="J95" s="15">
        <f>辅助表!J30</f>
        <v>67923.14688178456</v>
      </c>
      <c r="K95" s="7"/>
    </row>
    <row r="96" spans="1:11" hidden="1" x14ac:dyDescent="0.25">
      <c r="B96" s="6" t="s">
        <v>49</v>
      </c>
      <c r="C96" s="6">
        <f t="shared" ref="C96:J97" si="193">RANK(C94,94:94,1)</f>
        <v>5</v>
      </c>
      <c r="D96" s="6">
        <f t="shared" si="193"/>
        <v>8</v>
      </c>
      <c r="E96" s="6">
        <f t="shared" si="193"/>
        <v>2</v>
      </c>
      <c r="F96" s="6">
        <f t="shared" si="193"/>
        <v>6</v>
      </c>
      <c r="G96" s="6">
        <f t="shared" si="193"/>
        <v>7</v>
      </c>
      <c r="H96" s="6">
        <f t="shared" si="193"/>
        <v>4</v>
      </c>
      <c r="I96" s="6">
        <f t="shared" si="193"/>
        <v>3</v>
      </c>
      <c r="J96" s="6">
        <f t="shared" si="193"/>
        <v>1</v>
      </c>
    </row>
    <row r="97" spans="1:11" hidden="1" x14ac:dyDescent="0.25">
      <c r="B97" s="6" t="s">
        <v>48</v>
      </c>
      <c r="C97" s="6">
        <f t="shared" si="193"/>
        <v>5</v>
      </c>
      <c r="D97" s="6">
        <f t="shared" si="193"/>
        <v>8</v>
      </c>
      <c r="E97" s="6">
        <f t="shared" si="193"/>
        <v>2</v>
      </c>
      <c r="F97" s="6">
        <f t="shared" si="193"/>
        <v>7</v>
      </c>
      <c r="G97" s="6">
        <f t="shared" si="193"/>
        <v>6</v>
      </c>
      <c r="H97" s="6">
        <f t="shared" si="193"/>
        <v>4</v>
      </c>
      <c r="I97" s="6">
        <f t="shared" si="193"/>
        <v>3</v>
      </c>
      <c r="J97" s="6">
        <f t="shared" si="193"/>
        <v>1</v>
      </c>
    </row>
    <row r="98" spans="1:11" hidden="1" x14ac:dyDescent="0.25">
      <c r="B98" s="6" t="s">
        <v>50</v>
      </c>
      <c r="C98" s="6">
        <f t="shared" ref="C98" si="194">C96+C97</f>
        <v>10</v>
      </c>
      <c r="D98" s="6">
        <f t="shared" ref="D98" si="195">D96+D97</f>
        <v>16</v>
      </c>
      <c r="E98" s="6">
        <f t="shared" ref="E98" si="196">E96+E97</f>
        <v>4</v>
      </c>
      <c r="F98" s="6">
        <f t="shared" ref="F98" si="197">F96+F97</f>
        <v>13</v>
      </c>
      <c r="G98" s="6">
        <f t="shared" ref="G98" si="198">G96+G97</f>
        <v>13</v>
      </c>
      <c r="H98" s="6">
        <f t="shared" ref="H98" si="199">H96+H97</f>
        <v>8</v>
      </c>
      <c r="I98" s="6">
        <f t="shared" ref="I98" si="200">I96+I97</f>
        <v>6</v>
      </c>
      <c r="J98" s="6">
        <f t="shared" ref="J98" si="201">J96+J97</f>
        <v>2</v>
      </c>
    </row>
    <row r="99" spans="1:11" hidden="1" x14ac:dyDescent="0.25">
      <c r="B99" s="6" t="s">
        <v>53</v>
      </c>
      <c r="C99" s="6">
        <f t="shared" ref="C99:J99" si="202">RANK(C98,98:98,1)</f>
        <v>5</v>
      </c>
      <c r="D99" s="6">
        <f t="shared" si="202"/>
        <v>8</v>
      </c>
      <c r="E99" s="6">
        <f t="shared" si="202"/>
        <v>2</v>
      </c>
      <c r="F99" s="6">
        <f t="shared" si="202"/>
        <v>6</v>
      </c>
      <c r="G99" s="6">
        <f t="shared" si="202"/>
        <v>6</v>
      </c>
      <c r="H99" s="6">
        <f t="shared" si="202"/>
        <v>4</v>
      </c>
      <c r="I99" s="6">
        <f t="shared" si="202"/>
        <v>3</v>
      </c>
      <c r="J99" s="6">
        <f t="shared" si="202"/>
        <v>1</v>
      </c>
    </row>
    <row r="100" spans="1:11" hidden="1" x14ac:dyDescent="0.25">
      <c r="B100" s="6" t="s">
        <v>52</v>
      </c>
      <c r="C100" s="6" t="str">
        <f t="shared" ref="C100" si="203">IF(C99&gt;C99,"-",IF(C99=C99,"=","+"))</f>
        <v>=</v>
      </c>
      <c r="D100" s="6" t="str">
        <f t="shared" ref="D100" si="204">IF(D99&gt;C99,"-",IF(D99=C99,"=","+"))</f>
        <v>-</v>
      </c>
      <c r="E100" s="6" t="str">
        <f t="shared" ref="E100" si="205">IF(E99&gt;C99,"-",IF(E99=C99,"=","+"))</f>
        <v>+</v>
      </c>
      <c r="F100" s="6" t="str">
        <f t="shared" ref="F100" si="206">IF(F99&gt;C99,"-",IF(F99=C99,"=","+"))</f>
        <v>-</v>
      </c>
      <c r="G100" s="6" t="str">
        <f t="shared" ref="G100" si="207">IF(G99&gt;C99,"-",IF(G99=C99,"=","+"))</f>
        <v>-</v>
      </c>
      <c r="H100" s="6" t="str">
        <f t="shared" ref="H100" si="208">IF(H99&gt;C99,"-",IF(H99=C99,"=","+"))</f>
        <v>+</v>
      </c>
      <c r="I100" s="6" t="str">
        <f t="shared" ref="I100" si="209">IF(I99&gt;C99,"-",IF(I99=C99,"=","+"))</f>
        <v>+</v>
      </c>
      <c r="J100" s="6" t="str">
        <f>IF(J99&gt;C99,"-",IF(J99=C99,"=","+"))</f>
        <v>+</v>
      </c>
    </row>
    <row r="101" spans="1:11" x14ac:dyDescent="0.25">
      <c r="A101" s="6" t="s">
        <v>28</v>
      </c>
      <c r="B101" s="6" t="s">
        <v>12</v>
      </c>
      <c r="C101" s="7">
        <f>辅助表!C31</f>
        <v>28972.361450950728</v>
      </c>
      <c r="D101" s="7">
        <f>辅助表!D31</f>
        <v>205156.09548188045</v>
      </c>
      <c r="E101" s="7">
        <f>辅助表!E31</f>
        <v>28948.454583969818</v>
      </c>
      <c r="F101" s="7">
        <f>辅助表!F31</f>
        <v>25659.227150933395</v>
      </c>
      <c r="G101" s="7">
        <f>辅助表!G31</f>
        <v>30715.04708078114</v>
      </c>
      <c r="H101" s="7">
        <f>辅助表!H31</f>
        <v>27733.593615351143</v>
      </c>
      <c r="I101" s="16">
        <f>辅助表!I31</f>
        <v>16445.594853691102</v>
      </c>
      <c r="J101" s="7">
        <f>辅助表!J31</f>
        <v>18548.667837839188</v>
      </c>
      <c r="K101" s="7"/>
    </row>
    <row r="102" spans="1:11" x14ac:dyDescent="0.25">
      <c r="A102" s="13"/>
      <c r="B102" s="13" t="s">
        <v>13</v>
      </c>
      <c r="C102" s="14">
        <f>辅助表!C32</f>
        <v>21752.194794994004</v>
      </c>
      <c r="D102" s="14">
        <f>辅助表!D32</f>
        <v>384599.81951005419</v>
      </c>
      <c r="E102" s="14">
        <f>辅助表!E32</f>
        <v>20753.916559172838</v>
      </c>
      <c r="F102" s="14">
        <f>辅助表!F32</f>
        <v>26615.803523851548</v>
      </c>
      <c r="G102" s="14">
        <f>辅助表!G32</f>
        <v>16769.442586352237</v>
      </c>
      <c r="H102" s="14">
        <f>辅助表!H32</f>
        <v>30195.261377708455</v>
      </c>
      <c r="I102" s="15">
        <f>辅助表!I32</f>
        <v>9922.5711957654785</v>
      </c>
      <c r="J102" s="14">
        <f>辅助表!J32</f>
        <v>20406.118524335809</v>
      </c>
      <c r="K102" s="7"/>
    </row>
    <row r="103" spans="1:11" hidden="1" x14ac:dyDescent="0.25">
      <c r="B103" s="6" t="s">
        <v>49</v>
      </c>
      <c r="C103" s="6">
        <f t="shared" ref="C103:J104" si="210">RANK(C101,101:101,1)</f>
        <v>6</v>
      </c>
      <c r="D103" s="6">
        <f t="shared" si="210"/>
        <v>8</v>
      </c>
      <c r="E103" s="6">
        <f t="shared" si="210"/>
        <v>5</v>
      </c>
      <c r="F103" s="6">
        <f t="shared" si="210"/>
        <v>3</v>
      </c>
      <c r="G103" s="6">
        <f t="shared" si="210"/>
        <v>7</v>
      </c>
      <c r="H103" s="6">
        <f t="shared" si="210"/>
        <v>4</v>
      </c>
      <c r="I103" s="6">
        <f t="shared" si="210"/>
        <v>1</v>
      </c>
      <c r="J103" s="6">
        <f t="shared" si="210"/>
        <v>2</v>
      </c>
    </row>
    <row r="104" spans="1:11" hidden="1" x14ac:dyDescent="0.25">
      <c r="B104" s="6" t="s">
        <v>48</v>
      </c>
      <c r="C104" s="6">
        <f t="shared" si="210"/>
        <v>5</v>
      </c>
      <c r="D104" s="6">
        <f t="shared" si="210"/>
        <v>8</v>
      </c>
      <c r="E104" s="6">
        <f t="shared" si="210"/>
        <v>4</v>
      </c>
      <c r="F104" s="6">
        <f t="shared" si="210"/>
        <v>6</v>
      </c>
      <c r="G104" s="6">
        <f t="shared" si="210"/>
        <v>2</v>
      </c>
      <c r="H104" s="6">
        <f t="shared" si="210"/>
        <v>7</v>
      </c>
      <c r="I104" s="6">
        <f t="shared" si="210"/>
        <v>1</v>
      </c>
      <c r="J104" s="6">
        <f t="shared" si="210"/>
        <v>3</v>
      </c>
    </row>
    <row r="105" spans="1:11" hidden="1" x14ac:dyDescent="0.25">
      <c r="B105" s="6" t="s">
        <v>50</v>
      </c>
      <c r="C105" s="6">
        <f t="shared" ref="C105" si="211">C103+C104</f>
        <v>11</v>
      </c>
      <c r="D105" s="6">
        <f t="shared" ref="D105" si="212">D103+D104</f>
        <v>16</v>
      </c>
      <c r="E105" s="6">
        <f t="shared" ref="E105" si="213">E103+E104</f>
        <v>9</v>
      </c>
      <c r="F105" s="6">
        <f t="shared" ref="F105" si="214">F103+F104</f>
        <v>9</v>
      </c>
      <c r="G105" s="6">
        <f t="shared" ref="G105" si="215">G103+G104</f>
        <v>9</v>
      </c>
      <c r="H105" s="6">
        <f t="shared" ref="H105" si="216">H103+H104</f>
        <v>11</v>
      </c>
      <c r="I105" s="6">
        <f t="shared" ref="I105" si="217">I103+I104</f>
        <v>2</v>
      </c>
      <c r="J105" s="6">
        <f t="shared" ref="J105" si="218">J103+J104</f>
        <v>5</v>
      </c>
    </row>
    <row r="106" spans="1:11" hidden="1" x14ac:dyDescent="0.25">
      <c r="B106" s="6" t="s">
        <v>53</v>
      </c>
      <c r="C106" s="6">
        <f t="shared" ref="C106:J106" si="219">RANK(C105,105:105,1)</f>
        <v>6</v>
      </c>
      <c r="D106" s="6">
        <f t="shared" si="219"/>
        <v>8</v>
      </c>
      <c r="E106" s="6">
        <f t="shared" si="219"/>
        <v>3</v>
      </c>
      <c r="F106" s="6">
        <f t="shared" si="219"/>
        <v>3</v>
      </c>
      <c r="G106" s="6">
        <f t="shared" si="219"/>
        <v>3</v>
      </c>
      <c r="H106" s="6">
        <f t="shared" si="219"/>
        <v>6</v>
      </c>
      <c r="I106" s="6">
        <f t="shared" si="219"/>
        <v>1</v>
      </c>
      <c r="J106" s="6">
        <f t="shared" si="219"/>
        <v>2</v>
      </c>
    </row>
    <row r="107" spans="1:11" hidden="1" x14ac:dyDescent="0.25">
      <c r="B107" s="6" t="s">
        <v>52</v>
      </c>
      <c r="C107" s="6" t="str">
        <f t="shared" ref="C107" si="220">IF(C106&gt;C106,"-",IF(C106=C106,"=","+"))</f>
        <v>=</v>
      </c>
      <c r="D107" s="6" t="str">
        <f t="shared" ref="D107" si="221">IF(D106&gt;C106,"-",IF(D106=C106,"=","+"))</f>
        <v>-</v>
      </c>
      <c r="E107" s="6" t="str">
        <f t="shared" ref="E107" si="222">IF(E106&gt;C106,"-",IF(E106=C106,"=","+"))</f>
        <v>+</v>
      </c>
      <c r="F107" s="6" t="str">
        <f t="shared" ref="F107" si="223">IF(F106&gt;C106,"-",IF(F106=C106,"=","+"))</f>
        <v>+</v>
      </c>
      <c r="G107" s="6" t="str">
        <f t="shared" ref="G107" si="224">IF(G106&gt;C106,"-",IF(G106=C106,"=","+"))</f>
        <v>+</v>
      </c>
      <c r="H107" s="6" t="str">
        <f t="shared" ref="H107" si="225">IF(H106&gt;C106,"-",IF(H106=C106,"=","+"))</f>
        <v>=</v>
      </c>
      <c r="I107" s="6" t="str">
        <f t="shared" ref="I107" si="226">IF(I106&gt;C106,"-",IF(I106=C106,"=","+"))</f>
        <v>+</v>
      </c>
      <c r="J107" s="6" t="str">
        <f>IF(J106&gt;C106,"-",IF(J106=C106,"=","+"))</f>
        <v>+</v>
      </c>
    </row>
    <row r="108" spans="1:11" x14ac:dyDescent="0.25">
      <c r="A108" s="6" t="s">
        <v>29</v>
      </c>
      <c r="B108" s="6" t="s">
        <v>12</v>
      </c>
      <c r="C108" s="7">
        <f>辅助表!C33</f>
        <v>2801.135400138051</v>
      </c>
      <c r="D108" s="7">
        <f>辅助表!D33</f>
        <v>4042.3706990131109</v>
      </c>
      <c r="E108" s="7">
        <f>辅助表!E33</f>
        <v>3119.3280484866668</v>
      </c>
      <c r="F108" s="7">
        <f>辅助表!F33</f>
        <v>2966.2487109829367</v>
      </c>
      <c r="G108" s="7">
        <f>辅助表!G33</f>
        <v>3003.403987178785</v>
      </c>
      <c r="H108" s="16">
        <f>辅助表!H33</f>
        <v>2745.9305534627379</v>
      </c>
      <c r="I108" s="7">
        <f>辅助表!I33</f>
        <v>3168.5943235534205</v>
      </c>
      <c r="J108" s="7">
        <f>辅助表!J33</f>
        <v>3281.9188259834523</v>
      </c>
      <c r="K108" s="7"/>
    </row>
    <row r="109" spans="1:11" x14ac:dyDescent="0.25">
      <c r="A109" s="13"/>
      <c r="B109" s="13" t="s">
        <v>13</v>
      </c>
      <c r="C109" s="15">
        <f>辅助表!C34</f>
        <v>364.36572459565122</v>
      </c>
      <c r="D109" s="14">
        <f>辅助表!D34</f>
        <v>425.19205327253781</v>
      </c>
      <c r="E109" s="14">
        <f>辅助表!E34</f>
        <v>463.35780598713052</v>
      </c>
      <c r="F109" s="14">
        <f>辅助表!F34</f>
        <v>459.03214119717262</v>
      </c>
      <c r="G109" s="14">
        <f>辅助表!G34</f>
        <v>471.39401628533182</v>
      </c>
      <c r="H109" s="14">
        <f>辅助表!H34</f>
        <v>365.98752946904153</v>
      </c>
      <c r="I109" s="14">
        <f>辅助表!I34</f>
        <v>422.4382636685902</v>
      </c>
      <c r="J109" s="14">
        <f>辅助表!J34</f>
        <v>388.59500024065539</v>
      </c>
      <c r="K109" s="7"/>
    </row>
    <row r="110" spans="1:11" hidden="1" x14ac:dyDescent="0.25">
      <c r="B110" s="6" t="s">
        <v>49</v>
      </c>
      <c r="C110" s="6">
        <f t="shared" ref="C110:J111" si="227">RANK(C108,108:108,1)</f>
        <v>2</v>
      </c>
      <c r="D110" s="6">
        <f t="shared" si="227"/>
        <v>8</v>
      </c>
      <c r="E110" s="6">
        <f t="shared" si="227"/>
        <v>5</v>
      </c>
      <c r="F110" s="6">
        <f t="shared" si="227"/>
        <v>3</v>
      </c>
      <c r="G110" s="6">
        <f t="shared" si="227"/>
        <v>4</v>
      </c>
      <c r="H110" s="6">
        <f t="shared" si="227"/>
        <v>1</v>
      </c>
      <c r="I110" s="6">
        <f t="shared" si="227"/>
        <v>6</v>
      </c>
      <c r="J110" s="6">
        <f t="shared" si="227"/>
        <v>7</v>
      </c>
    </row>
    <row r="111" spans="1:11" hidden="1" x14ac:dyDescent="0.25">
      <c r="B111" s="6" t="s">
        <v>48</v>
      </c>
      <c r="C111" s="6">
        <f t="shared" si="227"/>
        <v>1</v>
      </c>
      <c r="D111" s="6">
        <f t="shared" si="227"/>
        <v>5</v>
      </c>
      <c r="E111" s="6">
        <f t="shared" si="227"/>
        <v>7</v>
      </c>
      <c r="F111" s="6">
        <f t="shared" si="227"/>
        <v>6</v>
      </c>
      <c r="G111" s="6">
        <f t="shared" si="227"/>
        <v>8</v>
      </c>
      <c r="H111" s="6">
        <f t="shared" si="227"/>
        <v>2</v>
      </c>
      <c r="I111" s="6">
        <f t="shared" si="227"/>
        <v>4</v>
      </c>
      <c r="J111" s="6">
        <f t="shared" si="227"/>
        <v>3</v>
      </c>
    </row>
    <row r="112" spans="1:11" hidden="1" x14ac:dyDescent="0.25">
      <c r="B112" s="6" t="s">
        <v>50</v>
      </c>
      <c r="C112" s="6">
        <f t="shared" ref="C112" si="228">C110+C111</f>
        <v>3</v>
      </c>
      <c r="D112" s="6">
        <f t="shared" ref="D112" si="229">D110+D111</f>
        <v>13</v>
      </c>
      <c r="E112" s="6">
        <f t="shared" ref="E112" si="230">E110+E111</f>
        <v>12</v>
      </c>
      <c r="F112" s="6">
        <f t="shared" ref="F112" si="231">F110+F111</f>
        <v>9</v>
      </c>
      <c r="G112" s="6">
        <f t="shared" ref="G112" si="232">G110+G111</f>
        <v>12</v>
      </c>
      <c r="H112" s="6">
        <f t="shared" ref="H112" si="233">H110+H111</f>
        <v>3</v>
      </c>
      <c r="I112" s="6">
        <f t="shared" ref="I112" si="234">I110+I111</f>
        <v>10</v>
      </c>
      <c r="J112" s="6">
        <f t="shared" ref="J112" si="235">J110+J111</f>
        <v>10</v>
      </c>
    </row>
    <row r="113" spans="1:11" hidden="1" x14ac:dyDescent="0.25">
      <c r="B113" s="6" t="s">
        <v>53</v>
      </c>
      <c r="C113" s="6">
        <f t="shared" ref="C113:J113" si="236">RANK(C112,112:112,1)</f>
        <v>1</v>
      </c>
      <c r="D113" s="6">
        <f t="shared" si="236"/>
        <v>8</v>
      </c>
      <c r="E113" s="6">
        <f t="shared" si="236"/>
        <v>6</v>
      </c>
      <c r="F113" s="6">
        <f t="shared" si="236"/>
        <v>3</v>
      </c>
      <c r="G113" s="6">
        <f t="shared" si="236"/>
        <v>6</v>
      </c>
      <c r="H113" s="6">
        <f t="shared" si="236"/>
        <v>1</v>
      </c>
      <c r="I113" s="6">
        <f t="shared" si="236"/>
        <v>4</v>
      </c>
      <c r="J113" s="6">
        <f t="shared" si="236"/>
        <v>4</v>
      </c>
    </row>
    <row r="114" spans="1:11" hidden="1" x14ac:dyDescent="0.25">
      <c r="B114" s="6" t="s">
        <v>52</v>
      </c>
      <c r="C114" s="6" t="str">
        <f t="shared" ref="C114" si="237">IF(C113&gt;C113,"-",IF(C113=C113,"=","+"))</f>
        <v>=</v>
      </c>
      <c r="D114" s="6" t="str">
        <f t="shared" ref="D114" si="238">IF(D113&gt;C113,"-",IF(D113=C113,"=","+"))</f>
        <v>-</v>
      </c>
      <c r="E114" s="6" t="str">
        <f t="shared" ref="E114" si="239">IF(E113&gt;C113,"-",IF(E113=C113,"=","+"))</f>
        <v>-</v>
      </c>
      <c r="F114" s="6" t="str">
        <f t="shared" ref="F114" si="240">IF(F113&gt;C113,"-",IF(F113=C113,"=","+"))</f>
        <v>-</v>
      </c>
      <c r="G114" s="6" t="str">
        <f t="shared" ref="G114" si="241">IF(G113&gt;C113,"-",IF(G113=C113,"=","+"))</f>
        <v>-</v>
      </c>
      <c r="H114" s="6" t="str">
        <f t="shared" ref="H114" si="242">IF(H113&gt;C113,"-",IF(H113=C113,"=","+"))</f>
        <v>=</v>
      </c>
      <c r="I114" s="6" t="str">
        <f t="shared" ref="I114" si="243">IF(I113&gt;C113,"-",IF(I113=C113,"=","+"))</f>
        <v>-</v>
      </c>
      <c r="J114" s="6" t="str">
        <f>IF(J113&gt;C113,"-",IF(J113=C113,"=","+"))</f>
        <v>-</v>
      </c>
    </row>
    <row r="115" spans="1:11" x14ac:dyDescent="0.25">
      <c r="A115" s="6" t="s">
        <v>30</v>
      </c>
      <c r="B115" s="6" t="s">
        <v>12</v>
      </c>
      <c r="C115" s="7">
        <f>辅助表!C35</f>
        <v>2406.8369563367282</v>
      </c>
      <c r="D115" s="7">
        <f>辅助表!D35</f>
        <v>2609.0395802546263</v>
      </c>
      <c r="E115" s="7">
        <f>辅助表!E35</f>
        <v>2222.2096218300485</v>
      </c>
      <c r="F115" s="7">
        <f>辅助表!F35</f>
        <v>2223.7905733029006</v>
      </c>
      <c r="G115" s="7">
        <f>辅助表!G35</f>
        <v>2137.6178778741596</v>
      </c>
      <c r="H115" s="16">
        <f>辅助表!H35</f>
        <v>2112.9262269309047</v>
      </c>
      <c r="I115" s="7">
        <f>辅助表!I35</f>
        <v>2163.8912719047016</v>
      </c>
      <c r="J115" s="7">
        <f>辅助表!J35</f>
        <v>2166.9647677883895</v>
      </c>
      <c r="K115" s="7"/>
    </row>
    <row r="116" spans="1:11" x14ac:dyDescent="0.25">
      <c r="A116" s="13"/>
      <c r="B116" s="13" t="s">
        <v>13</v>
      </c>
      <c r="C116" s="14">
        <f>辅助表!C36</f>
        <v>280.7172014382258</v>
      </c>
      <c r="D116" s="14">
        <f>辅助表!D36</f>
        <v>259.49466473812328</v>
      </c>
      <c r="E116" s="14">
        <f>辅助表!E36</f>
        <v>221.89135577612879</v>
      </c>
      <c r="F116" s="14">
        <f>辅助表!F36</f>
        <v>179.74630749247552</v>
      </c>
      <c r="G116" s="15">
        <f>辅助表!G36</f>
        <v>157.95009436011901</v>
      </c>
      <c r="H116" s="14">
        <f>辅助表!H36</f>
        <v>188.65478302310808</v>
      </c>
      <c r="I116" s="14">
        <f>辅助表!I36</f>
        <v>215.89863856889005</v>
      </c>
      <c r="J116" s="14">
        <f>辅助表!J36</f>
        <v>181.97287432083877</v>
      </c>
      <c r="K116" s="7"/>
    </row>
    <row r="117" spans="1:11" hidden="1" x14ac:dyDescent="0.25">
      <c r="B117" s="6" t="s">
        <v>49</v>
      </c>
      <c r="C117" s="6">
        <f t="shared" ref="C117:J118" si="244">RANK(C115,115:115,1)</f>
        <v>7</v>
      </c>
      <c r="D117" s="6">
        <f t="shared" si="244"/>
        <v>8</v>
      </c>
      <c r="E117" s="6">
        <f t="shared" si="244"/>
        <v>5</v>
      </c>
      <c r="F117" s="6">
        <f t="shared" si="244"/>
        <v>6</v>
      </c>
      <c r="G117" s="6">
        <f t="shared" si="244"/>
        <v>2</v>
      </c>
      <c r="H117" s="6">
        <f t="shared" si="244"/>
        <v>1</v>
      </c>
      <c r="I117" s="6">
        <f t="shared" si="244"/>
        <v>3</v>
      </c>
      <c r="J117" s="6">
        <f t="shared" si="244"/>
        <v>4</v>
      </c>
    </row>
    <row r="118" spans="1:11" hidden="1" x14ac:dyDescent="0.25">
      <c r="B118" s="6" t="s">
        <v>48</v>
      </c>
      <c r="C118" s="6">
        <f t="shared" si="244"/>
        <v>8</v>
      </c>
      <c r="D118" s="6">
        <f t="shared" si="244"/>
        <v>7</v>
      </c>
      <c r="E118" s="6">
        <f t="shared" si="244"/>
        <v>6</v>
      </c>
      <c r="F118" s="6">
        <f t="shared" si="244"/>
        <v>2</v>
      </c>
      <c r="G118" s="6">
        <f t="shared" si="244"/>
        <v>1</v>
      </c>
      <c r="H118" s="6">
        <f t="shared" si="244"/>
        <v>4</v>
      </c>
      <c r="I118" s="6">
        <f t="shared" si="244"/>
        <v>5</v>
      </c>
      <c r="J118" s="6">
        <f t="shared" si="244"/>
        <v>3</v>
      </c>
    </row>
    <row r="119" spans="1:11" hidden="1" x14ac:dyDescent="0.25">
      <c r="B119" s="6" t="s">
        <v>50</v>
      </c>
      <c r="C119" s="6">
        <f t="shared" ref="C119" si="245">C117+C118</f>
        <v>15</v>
      </c>
      <c r="D119" s="6">
        <f t="shared" ref="D119" si="246">D117+D118</f>
        <v>15</v>
      </c>
      <c r="E119" s="6">
        <f t="shared" ref="E119" si="247">E117+E118</f>
        <v>11</v>
      </c>
      <c r="F119" s="6">
        <f t="shared" ref="F119" si="248">F117+F118</f>
        <v>8</v>
      </c>
      <c r="G119" s="6">
        <f t="shared" ref="G119" si="249">G117+G118</f>
        <v>3</v>
      </c>
      <c r="H119" s="6">
        <f t="shared" ref="H119" si="250">H117+H118</f>
        <v>5</v>
      </c>
      <c r="I119" s="6">
        <f t="shared" ref="I119" si="251">I117+I118</f>
        <v>8</v>
      </c>
      <c r="J119" s="6">
        <f t="shared" ref="J119" si="252">J117+J118</f>
        <v>7</v>
      </c>
    </row>
    <row r="120" spans="1:11" hidden="1" x14ac:dyDescent="0.25">
      <c r="B120" s="6" t="s">
        <v>53</v>
      </c>
      <c r="C120" s="6">
        <f t="shared" ref="C120:J120" si="253">RANK(C119,119:119,1)</f>
        <v>7</v>
      </c>
      <c r="D120" s="6">
        <f t="shared" si="253"/>
        <v>7</v>
      </c>
      <c r="E120" s="6">
        <f t="shared" si="253"/>
        <v>6</v>
      </c>
      <c r="F120" s="6">
        <f t="shared" si="253"/>
        <v>4</v>
      </c>
      <c r="G120" s="6">
        <f t="shared" si="253"/>
        <v>1</v>
      </c>
      <c r="H120" s="6">
        <f t="shared" si="253"/>
        <v>2</v>
      </c>
      <c r="I120" s="6">
        <f t="shared" si="253"/>
        <v>4</v>
      </c>
      <c r="J120" s="6">
        <f t="shared" si="253"/>
        <v>3</v>
      </c>
    </row>
    <row r="121" spans="1:11" hidden="1" x14ac:dyDescent="0.25">
      <c r="B121" s="6" t="s">
        <v>52</v>
      </c>
      <c r="C121" s="6" t="str">
        <f t="shared" ref="C121" si="254">IF(C120&gt;C120,"-",IF(C120=C120,"=","+"))</f>
        <v>=</v>
      </c>
      <c r="D121" s="6" t="str">
        <f t="shared" ref="D121" si="255">IF(D120&gt;C120,"-",IF(D120=C120,"=","+"))</f>
        <v>=</v>
      </c>
      <c r="E121" s="6" t="str">
        <f t="shared" ref="E121" si="256">IF(E120&gt;C120,"-",IF(E120=C120,"=","+"))</f>
        <v>+</v>
      </c>
      <c r="F121" s="6" t="str">
        <f t="shared" ref="F121" si="257">IF(F120&gt;C120,"-",IF(F120=C120,"=","+"))</f>
        <v>+</v>
      </c>
      <c r="G121" s="6" t="str">
        <f t="shared" ref="G121" si="258">IF(G120&gt;C120,"-",IF(G120=C120,"=","+"))</f>
        <v>+</v>
      </c>
      <c r="H121" s="6" t="str">
        <f t="shared" ref="H121" si="259">IF(H120&gt;C120,"-",IF(H120=C120,"=","+"))</f>
        <v>+</v>
      </c>
      <c r="I121" s="6" t="str">
        <f t="shared" ref="I121" si="260">IF(I120&gt;C120,"-",IF(I120=C120,"=","+"))</f>
        <v>+</v>
      </c>
      <c r="J121" s="6" t="str">
        <f>IF(J120&gt;C120,"-",IF(J120=C120,"=","+"))</f>
        <v>+</v>
      </c>
    </row>
    <row r="122" spans="1:11" x14ac:dyDescent="0.25">
      <c r="A122" s="6" t="s">
        <v>31</v>
      </c>
      <c r="B122" s="6" t="s">
        <v>12</v>
      </c>
      <c r="C122" s="7">
        <f>辅助表!C37</f>
        <v>3875282.5060441769</v>
      </c>
      <c r="D122" s="7">
        <f>辅助表!D37</f>
        <v>924576.2316666937</v>
      </c>
      <c r="E122" s="7">
        <f>辅助表!E37</f>
        <v>1999161.7523573756</v>
      </c>
      <c r="F122" s="7">
        <f>辅助表!F37</f>
        <v>1834081.1020049078</v>
      </c>
      <c r="G122" s="16">
        <f>辅助表!G37</f>
        <v>460154.2535836976</v>
      </c>
      <c r="H122" s="7">
        <f>辅助表!H37</f>
        <v>1865935.7201788654</v>
      </c>
      <c r="I122" s="7">
        <f>辅助表!I37</f>
        <v>2940245.9825106263</v>
      </c>
      <c r="J122" s="7">
        <f>辅助表!J37</f>
        <v>1281571.1558761369</v>
      </c>
      <c r="K122" s="7"/>
    </row>
    <row r="123" spans="1:11" x14ac:dyDescent="0.25">
      <c r="A123" s="13"/>
      <c r="B123" s="13" t="s">
        <v>13</v>
      </c>
      <c r="C123" s="14">
        <f>辅助表!C38</f>
        <v>4198935.5681531634</v>
      </c>
      <c r="D123" s="14">
        <f>辅助表!D38</f>
        <v>1093998.7668302734</v>
      </c>
      <c r="E123" s="14">
        <f>辅助表!E38</f>
        <v>1674858.9393692913</v>
      </c>
      <c r="F123" s="14">
        <f>辅助表!F38</f>
        <v>1758259.2992523056</v>
      </c>
      <c r="G123" s="15">
        <f>辅助表!G38</f>
        <v>320135.81743222539</v>
      </c>
      <c r="H123" s="14">
        <f>辅助表!H38</f>
        <v>1685708.2485709128</v>
      </c>
      <c r="I123" s="14">
        <f>辅助表!I38</f>
        <v>2769895.4494733056</v>
      </c>
      <c r="J123" s="14">
        <f>辅助表!J38</f>
        <v>1372768.9596036617</v>
      </c>
      <c r="K123" s="7"/>
    </row>
    <row r="124" spans="1:11" hidden="1" x14ac:dyDescent="0.25">
      <c r="B124" s="6" t="s">
        <v>49</v>
      </c>
      <c r="C124" s="6">
        <f t="shared" ref="C124:J125" si="261">RANK(C122,122:122,1)</f>
        <v>8</v>
      </c>
      <c r="D124" s="6">
        <f t="shared" si="261"/>
        <v>2</v>
      </c>
      <c r="E124" s="6">
        <f t="shared" si="261"/>
        <v>6</v>
      </c>
      <c r="F124" s="6">
        <f t="shared" si="261"/>
        <v>4</v>
      </c>
      <c r="G124" s="6">
        <f t="shared" si="261"/>
        <v>1</v>
      </c>
      <c r="H124" s="6">
        <f t="shared" si="261"/>
        <v>5</v>
      </c>
      <c r="I124" s="6">
        <f t="shared" si="261"/>
        <v>7</v>
      </c>
      <c r="J124" s="6">
        <f t="shared" si="261"/>
        <v>3</v>
      </c>
    </row>
    <row r="125" spans="1:11" hidden="1" x14ac:dyDescent="0.25">
      <c r="B125" s="6" t="s">
        <v>48</v>
      </c>
      <c r="C125" s="6">
        <f t="shared" si="261"/>
        <v>8</v>
      </c>
      <c r="D125" s="6">
        <f t="shared" si="261"/>
        <v>2</v>
      </c>
      <c r="E125" s="6">
        <f t="shared" si="261"/>
        <v>4</v>
      </c>
      <c r="F125" s="6">
        <f t="shared" si="261"/>
        <v>6</v>
      </c>
      <c r="G125" s="6">
        <f t="shared" si="261"/>
        <v>1</v>
      </c>
      <c r="H125" s="6">
        <f t="shared" si="261"/>
        <v>5</v>
      </c>
      <c r="I125" s="6">
        <f t="shared" si="261"/>
        <v>7</v>
      </c>
      <c r="J125" s="6">
        <f t="shared" si="261"/>
        <v>3</v>
      </c>
    </row>
    <row r="126" spans="1:11" hidden="1" x14ac:dyDescent="0.25">
      <c r="B126" s="6" t="s">
        <v>50</v>
      </c>
      <c r="C126" s="6">
        <f t="shared" ref="C126" si="262">C124+C125</f>
        <v>16</v>
      </c>
      <c r="D126" s="6">
        <f t="shared" ref="D126" si="263">D124+D125</f>
        <v>4</v>
      </c>
      <c r="E126" s="6">
        <f t="shared" ref="E126" si="264">E124+E125</f>
        <v>10</v>
      </c>
      <c r="F126" s="6">
        <f t="shared" ref="F126" si="265">F124+F125</f>
        <v>10</v>
      </c>
      <c r="G126" s="6">
        <f t="shared" ref="G126" si="266">G124+G125</f>
        <v>2</v>
      </c>
      <c r="H126" s="6">
        <f t="shared" ref="H126" si="267">H124+H125</f>
        <v>10</v>
      </c>
      <c r="I126" s="6">
        <f t="shared" ref="I126" si="268">I124+I125</f>
        <v>14</v>
      </c>
      <c r="J126" s="6">
        <f t="shared" ref="J126" si="269">J124+J125</f>
        <v>6</v>
      </c>
    </row>
    <row r="127" spans="1:11" hidden="1" x14ac:dyDescent="0.25">
      <c r="B127" s="6" t="s">
        <v>53</v>
      </c>
      <c r="C127" s="6">
        <f t="shared" ref="C127:J127" si="270">RANK(C126,126:126,1)</f>
        <v>8</v>
      </c>
      <c r="D127" s="6">
        <f t="shared" si="270"/>
        <v>2</v>
      </c>
      <c r="E127" s="6">
        <f t="shared" si="270"/>
        <v>4</v>
      </c>
      <c r="F127" s="6">
        <f t="shared" si="270"/>
        <v>4</v>
      </c>
      <c r="G127" s="6">
        <f t="shared" si="270"/>
        <v>1</v>
      </c>
      <c r="H127" s="6">
        <f t="shared" si="270"/>
        <v>4</v>
      </c>
      <c r="I127" s="6">
        <f t="shared" si="270"/>
        <v>7</v>
      </c>
      <c r="J127" s="6">
        <f t="shared" si="270"/>
        <v>3</v>
      </c>
    </row>
    <row r="128" spans="1:11" hidden="1" x14ac:dyDescent="0.25">
      <c r="B128" s="6" t="s">
        <v>52</v>
      </c>
      <c r="C128" s="6" t="str">
        <f t="shared" ref="C128" si="271">IF(C127&gt;C127,"-",IF(C127=C127,"=","+"))</f>
        <v>=</v>
      </c>
      <c r="D128" s="6" t="str">
        <f t="shared" ref="D128" si="272">IF(D127&gt;C127,"-",IF(D127=C127,"=","+"))</f>
        <v>+</v>
      </c>
      <c r="E128" s="6" t="str">
        <f t="shared" ref="E128" si="273">IF(E127&gt;C127,"-",IF(E127=C127,"=","+"))</f>
        <v>+</v>
      </c>
      <c r="F128" s="6" t="str">
        <f t="shared" ref="F128" si="274">IF(F127&gt;C127,"-",IF(F127=C127,"=","+"))</f>
        <v>+</v>
      </c>
      <c r="G128" s="6" t="str">
        <f t="shared" ref="G128" si="275">IF(G127&gt;C127,"-",IF(G127=C127,"=","+"))</f>
        <v>+</v>
      </c>
      <c r="H128" s="6" t="str">
        <f t="shared" ref="H128" si="276">IF(H127&gt;C127,"-",IF(H127=C127,"=","+"))</f>
        <v>+</v>
      </c>
      <c r="I128" s="6" t="str">
        <f t="shared" ref="I128" si="277">IF(I127&gt;C127,"-",IF(I127=C127,"=","+"))</f>
        <v>+</v>
      </c>
      <c r="J128" s="6" t="str">
        <f>IF(J127&gt;C127,"-",IF(J127=C127,"=","+"))</f>
        <v>+</v>
      </c>
    </row>
    <row r="129" spans="1:11" x14ac:dyDescent="0.25">
      <c r="A129" s="6" t="s">
        <v>32</v>
      </c>
      <c r="B129" s="6" t="s">
        <v>12</v>
      </c>
      <c r="C129" s="7">
        <f>辅助表!C39</f>
        <v>55317.863751401535</v>
      </c>
      <c r="D129" s="7">
        <f>辅助表!D39</f>
        <v>4248615.4539797148</v>
      </c>
      <c r="E129" s="7">
        <f>辅助表!E39</f>
        <v>22364.008463892042</v>
      </c>
      <c r="F129" s="7">
        <f>辅助表!F39</f>
        <v>36510.737349197603</v>
      </c>
      <c r="G129" s="7">
        <f>辅助表!G39</f>
        <v>45940.832813112735</v>
      </c>
      <c r="H129" s="7">
        <f>辅助表!H39</f>
        <v>37343.623778459361</v>
      </c>
      <c r="I129" s="7">
        <f>辅助表!I39</f>
        <v>17441.216613573015</v>
      </c>
      <c r="J129" s="16">
        <f>辅助表!J39</f>
        <v>10423.089268454902</v>
      </c>
      <c r="K129" s="7"/>
    </row>
    <row r="130" spans="1:11" x14ac:dyDescent="0.25">
      <c r="A130" s="13"/>
      <c r="B130" s="13" t="s">
        <v>13</v>
      </c>
      <c r="C130" s="14">
        <f>辅助表!C40</f>
        <v>94303.455349167998</v>
      </c>
      <c r="D130" s="14">
        <f>辅助表!D40</f>
        <v>7242116.8904208932</v>
      </c>
      <c r="E130" s="14">
        <f>辅助表!E40</f>
        <v>19260.243004108484</v>
      </c>
      <c r="F130" s="14">
        <f>辅助表!F40</f>
        <v>71713.335461189345</v>
      </c>
      <c r="G130" s="14">
        <f>辅助表!G40</f>
        <v>14681.688853498859</v>
      </c>
      <c r="H130" s="14">
        <f>辅助表!H40</f>
        <v>53089.526046633859</v>
      </c>
      <c r="I130" s="14">
        <f>辅助表!I40</f>
        <v>18908.720809468214</v>
      </c>
      <c r="J130" s="15">
        <f>辅助表!J40</f>
        <v>9877.3713612654647</v>
      </c>
      <c r="K130" s="7"/>
    </row>
    <row r="131" spans="1:11" hidden="1" x14ac:dyDescent="0.25">
      <c r="B131" s="6" t="s">
        <v>49</v>
      </c>
      <c r="C131" s="6">
        <f t="shared" ref="C131:J132" si="278">RANK(C129,129:129,1)</f>
        <v>7</v>
      </c>
      <c r="D131" s="6">
        <f t="shared" si="278"/>
        <v>8</v>
      </c>
      <c r="E131" s="6">
        <f t="shared" si="278"/>
        <v>3</v>
      </c>
      <c r="F131" s="6">
        <f t="shared" si="278"/>
        <v>4</v>
      </c>
      <c r="G131" s="6">
        <f t="shared" si="278"/>
        <v>6</v>
      </c>
      <c r="H131" s="6">
        <f t="shared" si="278"/>
        <v>5</v>
      </c>
      <c r="I131" s="6">
        <f t="shared" si="278"/>
        <v>2</v>
      </c>
      <c r="J131" s="6">
        <f t="shared" si="278"/>
        <v>1</v>
      </c>
    </row>
    <row r="132" spans="1:11" hidden="1" x14ac:dyDescent="0.25">
      <c r="B132" s="6" t="s">
        <v>48</v>
      </c>
      <c r="C132" s="6">
        <f t="shared" si="278"/>
        <v>7</v>
      </c>
      <c r="D132" s="6">
        <f t="shared" si="278"/>
        <v>8</v>
      </c>
      <c r="E132" s="6">
        <f t="shared" si="278"/>
        <v>4</v>
      </c>
      <c r="F132" s="6">
        <f t="shared" si="278"/>
        <v>6</v>
      </c>
      <c r="G132" s="6">
        <f t="shared" si="278"/>
        <v>2</v>
      </c>
      <c r="H132" s="6">
        <f t="shared" si="278"/>
        <v>5</v>
      </c>
      <c r="I132" s="6">
        <f t="shared" si="278"/>
        <v>3</v>
      </c>
      <c r="J132" s="6">
        <f t="shared" si="278"/>
        <v>1</v>
      </c>
    </row>
    <row r="133" spans="1:11" hidden="1" x14ac:dyDescent="0.25">
      <c r="B133" s="6" t="s">
        <v>50</v>
      </c>
      <c r="C133" s="6">
        <f t="shared" ref="C133" si="279">C131+C132</f>
        <v>14</v>
      </c>
      <c r="D133" s="6">
        <f t="shared" ref="D133" si="280">D131+D132</f>
        <v>16</v>
      </c>
      <c r="E133" s="6">
        <f t="shared" ref="E133" si="281">E131+E132</f>
        <v>7</v>
      </c>
      <c r="F133" s="6">
        <f t="shared" ref="F133" si="282">F131+F132</f>
        <v>10</v>
      </c>
      <c r="G133" s="6">
        <f t="shared" ref="G133" si="283">G131+G132</f>
        <v>8</v>
      </c>
      <c r="H133" s="6">
        <f t="shared" ref="H133" si="284">H131+H132</f>
        <v>10</v>
      </c>
      <c r="I133" s="6">
        <f t="shared" ref="I133" si="285">I131+I132</f>
        <v>5</v>
      </c>
      <c r="J133" s="6">
        <f t="shared" ref="J133" si="286">J131+J132</f>
        <v>2</v>
      </c>
    </row>
    <row r="134" spans="1:11" hidden="1" x14ac:dyDescent="0.25">
      <c r="B134" s="6" t="s">
        <v>53</v>
      </c>
      <c r="C134" s="6">
        <f t="shared" ref="C134:J134" si="287">RANK(C133,133:133,1)</f>
        <v>7</v>
      </c>
      <c r="D134" s="6">
        <f t="shared" si="287"/>
        <v>8</v>
      </c>
      <c r="E134" s="6">
        <f t="shared" si="287"/>
        <v>3</v>
      </c>
      <c r="F134" s="6">
        <f t="shared" si="287"/>
        <v>5</v>
      </c>
      <c r="G134" s="6">
        <f t="shared" si="287"/>
        <v>4</v>
      </c>
      <c r="H134" s="6">
        <f t="shared" si="287"/>
        <v>5</v>
      </c>
      <c r="I134" s="6">
        <f t="shared" si="287"/>
        <v>2</v>
      </c>
      <c r="J134" s="6">
        <f t="shared" si="287"/>
        <v>1</v>
      </c>
    </row>
    <row r="135" spans="1:11" hidden="1" x14ac:dyDescent="0.25">
      <c r="B135" s="6" t="s">
        <v>52</v>
      </c>
      <c r="C135" s="6" t="str">
        <f t="shared" ref="C135" si="288">IF(C134&gt;C134,"-",IF(C134=C134,"=","+"))</f>
        <v>=</v>
      </c>
      <c r="D135" s="6" t="str">
        <f t="shared" ref="D135" si="289">IF(D134&gt;C134,"-",IF(D134=C134,"=","+"))</f>
        <v>-</v>
      </c>
      <c r="E135" s="6" t="str">
        <f t="shared" ref="E135" si="290">IF(E134&gt;C134,"-",IF(E134=C134,"=","+"))</f>
        <v>+</v>
      </c>
      <c r="F135" s="6" t="str">
        <f t="shared" ref="F135" si="291">IF(F134&gt;C134,"-",IF(F134=C134,"=","+"))</f>
        <v>+</v>
      </c>
      <c r="G135" s="6" t="str">
        <f t="shared" ref="G135" si="292">IF(G134&gt;C134,"-",IF(G134=C134,"=","+"))</f>
        <v>+</v>
      </c>
      <c r="H135" s="6" t="str">
        <f t="shared" ref="H135" si="293">IF(H134&gt;C134,"-",IF(H134=C134,"=","+"))</f>
        <v>+</v>
      </c>
      <c r="I135" s="6" t="str">
        <f t="shared" ref="I135" si="294">IF(I134&gt;C134,"-",IF(I134=C134,"=","+"))</f>
        <v>+</v>
      </c>
      <c r="J135" s="6" t="str">
        <f>IF(J134&gt;C134,"-",IF(J134=C134,"=","+"))</f>
        <v>+</v>
      </c>
    </row>
    <row r="136" spans="1:11" x14ac:dyDescent="0.25">
      <c r="A136" s="6" t="s">
        <v>33</v>
      </c>
      <c r="B136" s="6" t="s">
        <v>12</v>
      </c>
      <c r="C136" s="7">
        <f>辅助表!C41</f>
        <v>2686.8587225474848</v>
      </c>
      <c r="D136" s="7">
        <f>辅助表!D41</f>
        <v>3205.0204349508499</v>
      </c>
      <c r="E136" s="7">
        <f>辅助表!E41</f>
        <v>2606.2187369198828</v>
      </c>
      <c r="F136" s="7">
        <f>辅助表!F41</f>
        <v>2654.4524906639631</v>
      </c>
      <c r="G136" s="7">
        <f>辅助表!G41</f>
        <v>2833.2996716287248</v>
      </c>
      <c r="H136" s="16">
        <f>辅助表!H41</f>
        <v>2543.1129481577873</v>
      </c>
      <c r="I136" s="7">
        <f>辅助表!I41</f>
        <v>2649.9082681132745</v>
      </c>
      <c r="J136" s="7">
        <f>辅助表!J41</f>
        <v>2548.8637864840998</v>
      </c>
      <c r="K136" s="7"/>
    </row>
    <row r="137" spans="1:11" x14ac:dyDescent="0.25">
      <c r="A137" s="13"/>
      <c r="B137" s="13" t="s">
        <v>13</v>
      </c>
      <c r="C137" s="14">
        <f>辅助表!C42</f>
        <v>243.77943653833611</v>
      </c>
      <c r="D137" s="15">
        <f>辅助表!D42</f>
        <v>110.88906685843239</v>
      </c>
      <c r="E137" s="14">
        <f>辅助表!E42</f>
        <v>227.21412698268082</v>
      </c>
      <c r="F137" s="14">
        <f>辅助表!F42</f>
        <v>162.20249972775798</v>
      </c>
      <c r="G137" s="14">
        <f>辅助表!G42</f>
        <v>154.53706134058427</v>
      </c>
      <c r="H137" s="14">
        <f>辅助表!H42</f>
        <v>237.07004111028618</v>
      </c>
      <c r="I137" s="14">
        <f>辅助表!I42</f>
        <v>209.35497625017439</v>
      </c>
      <c r="J137" s="14">
        <f>辅助表!J42</f>
        <v>246.90840188245133</v>
      </c>
      <c r="K137" s="7"/>
    </row>
    <row r="138" spans="1:11" hidden="1" x14ac:dyDescent="0.25">
      <c r="B138" s="6" t="s">
        <v>49</v>
      </c>
      <c r="C138" s="6">
        <f t="shared" ref="C138:J139" si="295">RANK(C136,136:136,1)</f>
        <v>6</v>
      </c>
      <c r="D138" s="6">
        <f t="shared" si="295"/>
        <v>8</v>
      </c>
      <c r="E138" s="6">
        <f t="shared" si="295"/>
        <v>3</v>
      </c>
      <c r="F138" s="6">
        <f t="shared" si="295"/>
        <v>5</v>
      </c>
      <c r="G138" s="6">
        <f t="shared" si="295"/>
        <v>7</v>
      </c>
      <c r="H138" s="6">
        <f t="shared" si="295"/>
        <v>1</v>
      </c>
      <c r="I138" s="6">
        <f t="shared" si="295"/>
        <v>4</v>
      </c>
      <c r="J138" s="6">
        <f t="shared" si="295"/>
        <v>2</v>
      </c>
    </row>
    <row r="139" spans="1:11" hidden="1" x14ac:dyDescent="0.25">
      <c r="B139" s="6" t="s">
        <v>48</v>
      </c>
      <c r="C139" s="6">
        <f t="shared" si="295"/>
        <v>7</v>
      </c>
      <c r="D139" s="6">
        <f t="shared" si="295"/>
        <v>1</v>
      </c>
      <c r="E139" s="6">
        <f t="shared" si="295"/>
        <v>5</v>
      </c>
      <c r="F139" s="6">
        <f t="shared" si="295"/>
        <v>3</v>
      </c>
      <c r="G139" s="6">
        <f t="shared" si="295"/>
        <v>2</v>
      </c>
      <c r="H139" s="6">
        <f t="shared" si="295"/>
        <v>6</v>
      </c>
      <c r="I139" s="6">
        <f t="shared" si="295"/>
        <v>4</v>
      </c>
      <c r="J139" s="6">
        <f t="shared" si="295"/>
        <v>8</v>
      </c>
    </row>
    <row r="140" spans="1:11" hidden="1" x14ac:dyDescent="0.25">
      <c r="B140" s="6" t="s">
        <v>50</v>
      </c>
      <c r="C140" s="6">
        <f t="shared" ref="C140" si="296">C138+C139</f>
        <v>13</v>
      </c>
      <c r="D140" s="6">
        <f t="shared" ref="D140" si="297">D138+D139</f>
        <v>9</v>
      </c>
      <c r="E140" s="6">
        <f t="shared" ref="E140" si="298">E138+E139</f>
        <v>8</v>
      </c>
      <c r="F140" s="6">
        <f t="shared" ref="F140" si="299">F138+F139</f>
        <v>8</v>
      </c>
      <c r="G140" s="6">
        <f t="shared" ref="G140" si="300">G138+G139</f>
        <v>9</v>
      </c>
      <c r="H140" s="6">
        <f t="shared" ref="H140" si="301">H138+H139</f>
        <v>7</v>
      </c>
      <c r="I140" s="6">
        <f t="shared" ref="I140" si="302">I138+I139</f>
        <v>8</v>
      </c>
      <c r="J140" s="6">
        <f t="shared" ref="J140" si="303">J138+J139</f>
        <v>10</v>
      </c>
    </row>
    <row r="141" spans="1:11" hidden="1" x14ac:dyDescent="0.25">
      <c r="B141" s="6" t="s">
        <v>53</v>
      </c>
      <c r="C141" s="6">
        <f t="shared" ref="C141:J141" si="304">RANK(C140,140:140,1)</f>
        <v>8</v>
      </c>
      <c r="D141" s="6">
        <f t="shared" si="304"/>
        <v>5</v>
      </c>
      <c r="E141" s="6">
        <f t="shared" si="304"/>
        <v>2</v>
      </c>
      <c r="F141" s="6">
        <f t="shared" si="304"/>
        <v>2</v>
      </c>
      <c r="G141" s="6">
        <f t="shared" si="304"/>
        <v>5</v>
      </c>
      <c r="H141" s="6">
        <f t="shared" si="304"/>
        <v>1</v>
      </c>
      <c r="I141" s="6">
        <f t="shared" si="304"/>
        <v>2</v>
      </c>
      <c r="J141" s="6">
        <f t="shared" si="304"/>
        <v>7</v>
      </c>
    </row>
    <row r="142" spans="1:11" hidden="1" x14ac:dyDescent="0.25">
      <c r="B142" s="6" t="s">
        <v>52</v>
      </c>
      <c r="C142" s="6" t="str">
        <f t="shared" ref="C142" si="305">IF(C141&gt;C141,"-",IF(C141=C141,"=","+"))</f>
        <v>=</v>
      </c>
      <c r="D142" s="6" t="str">
        <f t="shared" ref="D142" si="306">IF(D141&gt;C141,"-",IF(D141=C141,"=","+"))</f>
        <v>+</v>
      </c>
      <c r="E142" s="6" t="str">
        <f t="shared" ref="E142" si="307">IF(E141&gt;C141,"-",IF(E141=C141,"=","+"))</f>
        <v>+</v>
      </c>
      <c r="F142" s="6" t="str">
        <f t="shared" ref="F142" si="308">IF(F141&gt;C141,"-",IF(F141=C141,"=","+"))</f>
        <v>+</v>
      </c>
      <c r="G142" s="6" t="str">
        <f t="shared" ref="G142" si="309">IF(G141&gt;C141,"-",IF(G141=C141,"=","+"))</f>
        <v>+</v>
      </c>
      <c r="H142" s="6" t="str">
        <f t="shared" ref="H142" si="310">IF(H141&gt;C141,"-",IF(H141=C141,"=","+"))</f>
        <v>+</v>
      </c>
      <c r="I142" s="6" t="str">
        <f t="shared" ref="I142" si="311">IF(I141&gt;C141,"-",IF(I141=C141,"=","+"))</f>
        <v>+</v>
      </c>
      <c r="J142" s="6" t="str">
        <f>IF(J141&gt;C141,"-",IF(J141=C141,"=","+"))</f>
        <v>+</v>
      </c>
    </row>
    <row r="143" spans="1:11" x14ac:dyDescent="0.25">
      <c r="A143" s="6" t="s">
        <v>34</v>
      </c>
      <c r="B143" s="6" t="s">
        <v>12</v>
      </c>
      <c r="C143" s="7">
        <f>辅助表!C43</f>
        <v>2439.8244961174819</v>
      </c>
      <c r="D143" s="7">
        <f>辅助表!D43</f>
        <v>2780.2788089731662</v>
      </c>
      <c r="E143" s="7">
        <f>辅助表!E43</f>
        <v>2459.0654052503069</v>
      </c>
      <c r="F143" s="7">
        <f>辅助表!F43</f>
        <v>2409.0731837596454</v>
      </c>
      <c r="G143" s="7">
        <f>辅助表!G43</f>
        <v>2508.2917746982148</v>
      </c>
      <c r="H143" s="16">
        <f>辅助表!H43</f>
        <v>2406.5666181094839</v>
      </c>
      <c r="I143" s="7">
        <f>辅助表!I43</f>
        <v>2462.7233368734605</v>
      </c>
      <c r="J143" s="7">
        <f>辅助表!J43</f>
        <v>2462.5332798144509</v>
      </c>
      <c r="K143" s="7"/>
    </row>
    <row r="144" spans="1:11" x14ac:dyDescent="0.25">
      <c r="A144" s="13"/>
      <c r="B144" s="13" t="s">
        <v>13</v>
      </c>
      <c r="C144" s="14">
        <f>辅助表!C44</f>
        <v>25.12577301173134</v>
      </c>
      <c r="D144" s="14">
        <f>辅助表!D44</f>
        <v>27.071936345527206</v>
      </c>
      <c r="E144" s="14">
        <f>辅助表!E44</f>
        <v>42.164620517010462</v>
      </c>
      <c r="F144" s="14">
        <f>辅助表!F44</f>
        <v>25.566110567997875</v>
      </c>
      <c r="G144" s="14">
        <f>辅助表!G44</f>
        <v>179.9108532926362</v>
      </c>
      <c r="H144" s="15">
        <f>辅助表!H44</f>
        <v>22.13209747793136</v>
      </c>
      <c r="I144" s="14">
        <f>辅助表!I44</f>
        <v>39.061398793431664</v>
      </c>
      <c r="J144" s="14">
        <f>辅助表!J44</f>
        <v>40.400087876797116</v>
      </c>
      <c r="K144" s="7"/>
    </row>
    <row r="145" spans="1:11" hidden="1" x14ac:dyDescent="0.25">
      <c r="B145" s="6" t="s">
        <v>49</v>
      </c>
      <c r="C145" s="6">
        <f t="shared" ref="C145:J146" si="312">RANK(C143,143:143,1)</f>
        <v>3</v>
      </c>
      <c r="D145" s="6">
        <f t="shared" si="312"/>
        <v>8</v>
      </c>
      <c r="E145" s="6">
        <f t="shared" si="312"/>
        <v>4</v>
      </c>
      <c r="F145" s="6">
        <f t="shared" si="312"/>
        <v>2</v>
      </c>
      <c r="G145" s="6">
        <f t="shared" si="312"/>
        <v>7</v>
      </c>
      <c r="H145" s="6">
        <f t="shared" si="312"/>
        <v>1</v>
      </c>
      <c r="I145" s="6">
        <f t="shared" si="312"/>
        <v>6</v>
      </c>
      <c r="J145" s="6">
        <f t="shared" si="312"/>
        <v>5</v>
      </c>
    </row>
    <row r="146" spans="1:11" hidden="1" x14ac:dyDescent="0.25">
      <c r="B146" s="6" t="s">
        <v>48</v>
      </c>
      <c r="C146" s="6">
        <f t="shared" si="312"/>
        <v>2</v>
      </c>
      <c r="D146" s="6">
        <f t="shared" si="312"/>
        <v>4</v>
      </c>
      <c r="E146" s="6">
        <f t="shared" si="312"/>
        <v>7</v>
      </c>
      <c r="F146" s="6">
        <f t="shared" si="312"/>
        <v>3</v>
      </c>
      <c r="G146" s="6">
        <f t="shared" si="312"/>
        <v>8</v>
      </c>
      <c r="H146" s="6">
        <f t="shared" si="312"/>
        <v>1</v>
      </c>
      <c r="I146" s="6">
        <f t="shared" si="312"/>
        <v>5</v>
      </c>
      <c r="J146" s="6">
        <f t="shared" si="312"/>
        <v>6</v>
      </c>
    </row>
    <row r="147" spans="1:11" hidden="1" x14ac:dyDescent="0.25">
      <c r="B147" s="6" t="s">
        <v>50</v>
      </c>
      <c r="C147" s="6">
        <f t="shared" ref="C147" si="313">C145+C146</f>
        <v>5</v>
      </c>
      <c r="D147" s="6">
        <f t="shared" ref="D147" si="314">D145+D146</f>
        <v>12</v>
      </c>
      <c r="E147" s="6">
        <f t="shared" ref="E147" si="315">E145+E146</f>
        <v>11</v>
      </c>
      <c r="F147" s="6">
        <f t="shared" ref="F147" si="316">F145+F146</f>
        <v>5</v>
      </c>
      <c r="G147" s="6">
        <f t="shared" ref="G147" si="317">G145+G146</f>
        <v>15</v>
      </c>
      <c r="H147" s="6">
        <f t="shared" ref="H147" si="318">H145+H146</f>
        <v>2</v>
      </c>
      <c r="I147" s="6">
        <f t="shared" ref="I147" si="319">I145+I146</f>
        <v>11</v>
      </c>
      <c r="J147" s="6">
        <f t="shared" ref="J147" si="320">J145+J146</f>
        <v>11</v>
      </c>
    </row>
    <row r="148" spans="1:11" hidden="1" x14ac:dyDescent="0.25">
      <c r="B148" s="6" t="s">
        <v>53</v>
      </c>
      <c r="C148" s="6">
        <f t="shared" ref="C148:J148" si="321">RANK(C147,147:147,1)</f>
        <v>2</v>
      </c>
      <c r="D148" s="6">
        <f t="shared" si="321"/>
        <v>7</v>
      </c>
      <c r="E148" s="6">
        <f t="shared" si="321"/>
        <v>4</v>
      </c>
      <c r="F148" s="6">
        <f t="shared" si="321"/>
        <v>2</v>
      </c>
      <c r="G148" s="6">
        <f t="shared" si="321"/>
        <v>8</v>
      </c>
      <c r="H148" s="6">
        <f t="shared" si="321"/>
        <v>1</v>
      </c>
      <c r="I148" s="6">
        <f t="shared" si="321"/>
        <v>4</v>
      </c>
      <c r="J148" s="6">
        <f t="shared" si="321"/>
        <v>4</v>
      </c>
    </row>
    <row r="149" spans="1:11" hidden="1" x14ac:dyDescent="0.25">
      <c r="B149" s="6" t="s">
        <v>52</v>
      </c>
      <c r="C149" s="6" t="str">
        <f t="shared" ref="C149" si="322">IF(C148&gt;C148,"-",IF(C148=C148,"=","+"))</f>
        <v>=</v>
      </c>
      <c r="D149" s="6" t="str">
        <f t="shared" ref="D149" si="323">IF(D148&gt;C148,"-",IF(D148=C148,"=","+"))</f>
        <v>-</v>
      </c>
      <c r="E149" s="6" t="str">
        <f t="shared" ref="E149" si="324">IF(E148&gt;C148,"-",IF(E148=C148,"=","+"))</f>
        <v>-</v>
      </c>
      <c r="F149" s="6" t="str">
        <f t="shared" ref="F149" si="325">IF(F148&gt;C148,"-",IF(F148=C148,"=","+"))</f>
        <v>=</v>
      </c>
      <c r="G149" s="6" t="str">
        <f t="shared" ref="G149" si="326">IF(G148&gt;C148,"-",IF(G148=C148,"=","+"))</f>
        <v>-</v>
      </c>
      <c r="H149" s="6" t="str">
        <f t="shared" ref="H149" si="327">IF(H148&gt;C148,"-",IF(H148=C148,"=","+"))</f>
        <v>+</v>
      </c>
      <c r="I149" s="6" t="str">
        <f t="shared" ref="I149" si="328">IF(I148&gt;C148,"-",IF(I148=C148,"=","+"))</f>
        <v>-</v>
      </c>
      <c r="J149" s="6" t="str">
        <f>IF(J148&gt;C148,"-",IF(J148=C148,"=","+"))</f>
        <v>-</v>
      </c>
    </row>
    <row r="150" spans="1:11" x14ac:dyDescent="0.25">
      <c r="A150" s="6" t="s">
        <v>35</v>
      </c>
      <c r="B150" s="6" t="s">
        <v>12</v>
      </c>
      <c r="C150" s="7">
        <f>辅助表!C45</f>
        <v>7852.0820741988564</v>
      </c>
      <c r="D150" s="7">
        <f>辅助表!D45</f>
        <v>7067.2262362477859</v>
      </c>
      <c r="E150" s="7">
        <f>辅助表!E45</f>
        <v>5599.4896281555939</v>
      </c>
      <c r="F150" s="7">
        <f>辅助表!F45</f>
        <v>2523.2778872094582</v>
      </c>
      <c r="G150" s="7">
        <f>辅助表!G45</f>
        <v>7383.1986020625691</v>
      </c>
      <c r="H150" s="7">
        <f>辅助表!H45</f>
        <v>2792.7397342400905</v>
      </c>
      <c r="I150" s="16">
        <f>辅助表!I45</f>
        <v>2403.4279569989103</v>
      </c>
      <c r="J150" s="7">
        <f>辅助表!J45</f>
        <v>2763.8311047701568</v>
      </c>
      <c r="K150" s="7"/>
    </row>
    <row r="151" spans="1:11" x14ac:dyDescent="0.25">
      <c r="A151" s="13"/>
      <c r="B151" s="13" t="s">
        <v>13</v>
      </c>
      <c r="C151" s="14">
        <f>辅助表!C46</f>
        <v>2492.0226468831097</v>
      </c>
      <c r="D151" s="14">
        <f>辅助表!D46</f>
        <v>662.76179683456382</v>
      </c>
      <c r="E151" s="14">
        <f>辅助表!E46</f>
        <v>3740.1372587862611</v>
      </c>
      <c r="F151" s="15">
        <f>辅助表!F46</f>
        <v>92.440310237371008</v>
      </c>
      <c r="G151" s="14">
        <f>辅助表!G46</f>
        <v>1175.3975533299651</v>
      </c>
      <c r="H151" s="14">
        <f>辅助表!H46</f>
        <v>317.23090837910229</v>
      </c>
      <c r="I151" s="14">
        <f>辅助表!I46</f>
        <v>176.75067230385696</v>
      </c>
      <c r="J151" s="14">
        <f>辅助表!J46</f>
        <v>1002.7619790651563</v>
      </c>
      <c r="K151" s="7"/>
    </row>
    <row r="152" spans="1:11" hidden="1" x14ac:dyDescent="0.25">
      <c r="B152" s="6" t="s">
        <v>49</v>
      </c>
      <c r="C152" s="6">
        <f t="shared" ref="C152:J153" si="329">RANK(C150,150:150,1)</f>
        <v>8</v>
      </c>
      <c r="D152" s="6">
        <f t="shared" si="329"/>
        <v>6</v>
      </c>
      <c r="E152" s="6">
        <f t="shared" si="329"/>
        <v>5</v>
      </c>
      <c r="F152" s="6">
        <f t="shared" si="329"/>
        <v>2</v>
      </c>
      <c r="G152" s="6">
        <f t="shared" si="329"/>
        <v>7</v>
      </c>
      <c r="H152" s="6">
        <f t="shared" si="329"/>
        <v>4</v>
      </c>
      <c r="I152" s="6">
        <f t="shared" si="329"/>
        <v>1</v>
      </c>
      <c r="J152" s="6">
        <f t="shared" si="329"/>
        <v>3</v>
      </c>
    </row>
    <row r="153" spans="1:11" hidden="1" x14ac:dyDescent="0.25">
      <c r="B153" s="6" t="s">
        <v>48</v>
      </c>
      <c r="C153" s="6">
        <f t="shared" si="329"/>
        <v>7</v>
      </c>
      <c r="D153" s="6">
        <f t="shared" si="329"/>
        <v>4</v>
      </c>
      <c r="E153" s="6">
        <f t="shared" si="329"/>
        <v>8</v>
      </c>
      <c r="F153" s="6">
        <f t="shared" si="329"/>
        <v>1</v>
      </c>
      <c r="G153" s="6">
        <f t="shared" si="329"/>
        <v>6</v>
      </c>
      <c r="H153" s="6">
        <f t="shared" si="329"/>
        <v>3</v>
      </c>
      <c r="I153" s="6">
        <f t="shared" si="329"/>
        <v>2</v>
      </c>
      <c r="J153" s="6">
        <f t="shared" si="329"/>
        <v>5</v>
      </c>
    </row>
    <row r="154" spans="1:11" hidden="1" x14ac:dyDescent="0.25">
      <c r="B154" s="6" t="s">
        <v>50</v>
      </c>
      <c r="C154" s="6">
        <f t="shared" ref="C154" si="330">C152+C153</f>
        <v>15</v>
      </c>
      <c r="D154" s="6">
        <f t="shared" ref="D154" si="331">D152+D153</f>
        <v>10</v>
      </c>
      <c r="E154" s="6">
        <f t="shared" ref="E154" si="332">E152+E153</f>
        <v>13</v>
      </c>
      <c r="F154" s="6">
        <f t="shared" ref="F154" si="333">F152+F153</f>
        <v>3</v>
      </c>
      <c r="G154" s="6">
        <f t="shared" ref="G154" si="334">G152+G153</f>
        <v>13</v>
      </c>
      <c r="H154" s="6">
        <f t="shared" ref="H154" si="335">H152+H153</f>
        <v>7</v>
      </c>
      <c r="I154" s="6">
        <f t="shared" ref="I154" si="336">I152+I153</f>
        <v>3</v>
      </c>
      <c r="J154" s="6">
        <f t="shared" ref="J154" si="337">J152+J153</f>
        <v>8</v>
      </c>
    </row>
    <row r="155" spans="1:11" hidden="1" x14ac:dyDescent="0.25">
      <c r="B155" s="6" t="s">
        <v>53</v>
      </c>
      <c r="C155" s="6">
        <f t="shared" ref="C155:J155" si="338">RANK(C154,154:154,1)</f>
        <v>8</v>
      </c>
      <c r="D155" s="6">
        <f t="shared" si="338"/>
        <v>5</v>
      </c>
      <c r="E155" s="6">
        <f t="shared" si="338"/>
        <v>6</v>
      </c>
      <c r="F155" s="6">
        <f t="shared" si="338"/>
        <v>1</v>
      </c>
      <c r="G155" s="6">
        <f t="shared" si="338"/>
        <v>6</v>
      </c>
      <c r="H155" s="6">
        <f t="shared" si="338"/>
        <v>3</v>
      </c>
      <c r="I155" s="6">
        <f t="shared" si="338"/>
        <v>1</v>
      </c>
      <c r="J155" s="6">
        <f t="shared" si="338"/>
        <v>4</v>
      </c>
    </row>
    <row r="156" spans="1:11" hidden="1" x14ac:dyDescent="0.25">
      <c r="B156" s="6" t="s">
        <v>52</v>
      </c>
      <c r="C156" s="6" t="str">
        <f t="shared" ref="C156" si="339">IF(C155&gt;C155,"-",IF(C155=C155,"=","+"))</f>
        <v>=</v>
      </c>
      <c r="D156" s="6" t="str">
        <f t="shared" ref="D156" si="340">IF(D155&gt;C155,"-",IF(D155=C155,"=","+"))</f>
        <v>+</v>
      </c>
      <c r="E156" s="6" t="str">
        <f t="shared" ref="E156" si="341">IF(E155&gt;C155,"-",IF(E155=C155,"=","+"))</f>
        <v>+</v>
      </c>
      <c r="F156" s="6" t="str">
        <f t="shared" ref="F156" si="342">IF(F155&gt;C155,"-",IF(F155=C155,"=","+"))</f>
        <v>+</v>
      </c>
      <c r="G156" s="6" t="str">
        <f t="shared" ref="G156" si="343">IF(G155&gt;C155,"-",IF(G155=C155,"=","+"))</f>
        <v>+</v>
      </c>
      <c r="H156" s="6" t="str">
        <f t="shared" ref="H156" si="344">IF(H155&gt;C155,"-",IF(H155=C155,"=","+"))</f>
        <v>+</v>
      </c>
      <c r="I156" s="6" t="str">
        <f t="shared" ref="I156" si="345">IF(I155&gt;C155,"-",IF(I155=C155,"=","+"))</f>
        <v>+</v>
      </c>
      <c r="J156" s="6" t="str">
        <f>IF(J155&gt;C155,"-",IF(J155=C155,"=","+"))</f>
        <v>+</v>
      </c>
    </row>
    <row r="157" spans="1:11" x14ac:dyDescent="0.25">
      <c r="A157" s="6" t="s">
        <v>36</v>
      </c>
      <c r="B157" s="6" t="s">
        <v>12</v>
      </c>
      <c r="C157" s="7">
        <f>辅助表!C47</f>
        <v>2862.4834540335346</v>
      </c>
      <c r="D157" s="7">
        <f>辅助表!D47</f>
        <v>3578.0421650955736</v>
      </c>
      <c r="E157" s="7">
        <f>辅助表!E47</f>
        <v>2796.4454682409005</v>
      </c>
      <c r="F157" s="16">
        <f>辅助表!F47</f>
        <v>2789.5224723377878</v>
      </c>
      <c r="G157" s="7">
        <f>辅助表!G47</f>
        <v>2849.3921089132391</v>
      </c>
      <c r="H157" s="7">
        <f>辅助表!H47</f>
        <v>2822.2576944445932</v>
      </c>
      <c r="I157" s="7">
        <f>辅助表!I47</f>
        <v>2799.0150858641932</v>
      </c>
      <c r="J157" s="7">
        <f>辅助表!J47</f>
        <v>2799.2235858582903</v>
      </c>
      <c r="K157" s="7"/>
    </row>
    <row r="158" spans="1:11" x14ac:dyDescent="0.25">
      <c r="A158" s="13"/>
      <c r="B158" s="13" t="s">
        <v>13</v>
      </c>
      <c r="C158" s="14">
        <f>辅助表!C48</f>
        <v>58.389391352344077</v>
      </c>
      <c r="D158" s="14">
        <f>辅助表!D48</f>
        <v>77.711176725436957</v>
      </c>
      <c r="E158" s="14">
        <f>辅助表!E48</f>
        <v>28.378115916141237</v>
      </c>
      <c r="F158" s="15">
        <f>辅助表!F48</f>
        <v>27.411097287489312</v>
      </c>
      <c r="G158" s="14">
        <f>辅助表!G48</f>
        <v>40.849565740774182</v>
      </c>
      <c r="H158" s="14">
        <f>辅助表!H48</f>
        <v>31.226009095130994</v>
      </c>
      <c r="I158" s="14">
        <f>辅助表!I48</f>
        <v>45.261289896959639</v>
      </c>
      <c r="J158" s="14">
        <f>辅助表!J48</f>
        <v>33.650634171262773</v>
      </c>
      <c r="K158" s="7"/>
    </row>
    <row r="159" spans="1:11" hidden="1" x14ac:dyDescent="0.25">
      <c r="B159" s="6" t="s">
        <v>49</v>
      </c>
      <c r="C159" s="6">
        <f t="shared" ref="C159:J160" si="346">RANK(C157,157:157,1)</f>
        <v>7</v>
      </c>
      <c r="D159" s="6">
        <f t="shared" si="346"/>
        <v>8</v>
      </c>
      <c r="E159" s="6">
        <f t="shared" si="346"/>
        <v>2</v>
      </c>
      <c r="F159" s="6">
        <f t="shared" si="346"/>
        <v>1</v>
      </c>
      <c r="G159" s="6">
        <f t="shared" si="346"/>
        <v>6</v>
      </c>
      <c r="H159" s="6">
        <f t="shared" si="346"/>
        <v>5</v>
      </c>
      <c r="I159" s="6">
        <f t="shared" si="346"/>
        <v>3</v>
      </c>
      <c r="J159" s="6">
        <f t="shared" si="346"/>
        <v>4</v>
      </c>
    </row>
    <row r="160" spans="1:11" hidden="1" x14ac:dyDescent="0.25">
      <c r="B160" s="6" t="s">
        <v>48</v>
      </c>
      <c r="C160" s="6">
        <f t="shared" si="346"/>
        <v>7</v>
      </c>
      <c r="D160" s="6">
        <f t="shared" si="346"/>
        <v>8</v>
      </c>
      <c r="E160" s="6">
        <f t="shared" si="346"/>
        <v>2</v>
      </c>
      <c r="F160" s="6">
        <f t="shared" si="346"/>
        <v>1</v>
      </c>
      <c r="G160" s="6">
        <f t="shared" si="346"/>
        <v>5</v>
      </c>
      <c r="H160" s="6">
        <f t="shared" si="346"/>
        <v>3</v>
      </c>
      <c r="I160" s="6">
        <f t="shared" si="346"/>
        <v>6</v>
      </c>
      <c r="J160" s="6">
        <f t="shared" si="346"/>
        <v>4</v>
      </c>
    </row>
    <row r="161" spans="1:11" hidden="1" x14ac:dyDescent="0.25">
      <c r="B161" s="6" t="s">
        <v>50</v>
      </c>
      <c r="C161" s="6">
        <f t="shared" ref="C161" si="347">C159+C160</f>
        <v>14</v>
      </c>
      <c r="D161" s="6">
        <f t="shared" ref="D161" si="348">D159+D160</f>
        <v>16</v>
      </c>
      <c r="E161" s="6">
        <f t="shared" ref="E161" si="349">E159+E160</f>
        <v>4</v>
      </c>
      <c r="F161" s="6">
        <f t="shared" ref="F161" si="350">F159+F160</f>
        <v>2</v>
      </c>
      <c r="G161" s="6">
        <f t="shared" ref="G161" si="351">G159+G160</f>
        <v>11</v>
      </c>
      <c r="H161" s="6">
        <f t="shared" ref="H161" si="352">H159+H160</f>
        <v>8</v>
      </c>
      <c r="I161" s="6">
        <f t="shared" ref="I161" si="353">I159+I160</f>
        <v>9</v>
      </c>
      <c r="J161" s="6">
        <f t="shared" ref="J161" si="354">J159+J160</f>
        <v>8</v>
      </c>
    </row>
    <row r="162" spans="1:11" hidden="1" x14ac:dyDescent="0.25">
      <c r="B162" s="6" t="s">
        <v>53</v>
      </c>
      <c r="C162" s="6">
        <f t="shared" ref="C162:J162" si="355">RANK(C161,161:161,1)</f>
        <v>7</v>
      </c>
      <c r="D162" s="6">
        <f t="shared" si="355"/>
        <v>8</v>
      </c>
      <c r="E162" s="6">
        <f t="shared" si="355"/>
        <v>2</v>
      </c>
      <c r="F162" s="6">
        <f t="shared" si="355"/>
        <v>1</v>
      </c>
      <c r="G162" s="6">
        <f t="shared" si="355"/>
        <v>6</v>
      </c>
      <c r="H162" s="6">
        <f t="shared" si="355"/>
        <v>3</v>
      </c>
      <c r="I162" s="6">
        <f t="shared" si="355"/>
        <v>5</v>
      </c>
      <c r="J162" s="6">
        <f t="shared" si="355"/>
        <v>3</v>
      </c>
    </row>
    <row r="163" spans="1:11" hidden="1" x14ac:dyDescent="0.25">
      <c r="B163" s="6" t="s">
        <v>52</v>
      </c>
      <c r="C163" s="6" t="str">
        <f t="shared" ref="C163" si="356">IF(C162&gt;C162,"-",IF(C162=C162,"=","+"))</f>
        <v>=</v>
      </c>
      <c r="D163" s="6" t="str">
        <f t="shared" ref="D163" si="357">IF(D162&gt;C162,"-",IF(D162=C162,"=","+"))</f>
        <v>-</v>
      </c>
      <c r="E163" s="6" t="str">
        <f t="shared" ref="E163" si="358">IF(E162&gt;C162,"-",IF(E162=C162,"=","+"))</f>
        <v>+</v>
      </c>
      <c r="F163" s="6" t="str">
        <f t="shared" ref="F163" si="359">IF(F162&gt;C162,"-",IF(F162=C162,"=","+"))</f>
        <v>+</v>
      </c>
      <c r="G163" s="6" t="str">
        <f t="shared" ref="G163" si="360">IF(G162&gt;C162,"-",IF(G162=C162,"=","+"))</f>
        <v>+</v>
      </c>
      <c r="H163" s="6" t="str">
        <f t="shared" ref="H163" si="361">IF(H162&gt;C162,"-",IF(H162=C162,"=","+"))</f>
        <v>+</v>
      </c>
      <c r="I163" s="6" t="str">
        <f t="shared" ref="I163" si="362">IF(I162&gt;C162,"-",IF(I162=C162,"=","+"))</f>
        <v>+</v>
      </c>
      <c r="J163" s="6" t="str">
        <f>IF(J162&gt;C162,"-",IF(J162=C162,"=","+"))</f>
        <v>+</v>
      </c>
    </row>
    <row r="164" spans="1:11" x14ac:dyDescent="0.25">
      <c r="A164" s="6" t="s">
        <v>37</v>
      </c>
      <c r="B164" s="6" t="s">
        <v>12</v>
      </c>
      <c r="C164" s="7">
        <f>辅助表!C49</f>
        <v>3007.3596971530269</v>
      </c>
      <c r="D164" s="7">
        <f>辅助表!D49</f>
        <v>3617.696793518885</v>
      </c>
      <c r="E164" s="7">
        <f>辅助表!E49</f>
        <v>3024.9410185679758</v>
      </c>
      <c r="F164" s="16">
        <f>辅助表!F49</f>
        <v>2976.0107419649057</v>
      </c>
      <c r="G164" s="7">
        <f>辅助表!G49</f>
        <v>3227.6787240281888</v>
      </c>
      <c r="H164" s="7">
        <f>辅助表!H49</f>
        <v>2992.1473902089278</v>
      </c>
      <c r="I164" s="7">
        <f>辅助表!I49</f>
        <v>3024.9583092356793</v>
      </c>
      <c r="J164" s="7">
        <f>辅助表!J49</f>
        <v>3021.7790047484436</v>
      </c>
      <c r="K164" s="7"/>
    </row>
    <row r="165" spans="1:11" x14ac:dyDescent="0.25">
      <c r="A165" s="13"/>
      <c r="B165" s="13" t="s">
        <v>13</v>
      </c>
      <c r="C165" s="14">
        <f>辅助表!C50</f>
        <v>50.012436985136993</v>
      </c>
      <c r="D165" s="14">
        <f>辅助表!D50</f>
        <v>205.31337256148149</v>
      </c>
      <c r="E165" s="14">
        <f>辅助表!E50</f>
        <v>27.981221363566817</v>
      </c>
      <c r="F165" s="14">
        <f>辅助表!F50</f>
        <v>40.842734136733519</v>
      </c>
      <c r="G165" s="14">
        <f>辅助表!G50</f>
        <v>134.07130279362937</v>
      </c>
      <c r="H165" s="14">
        <f>辅助表!H50</f>
        <v>30.965086718892508</v>
      </c>
      <c r="I165" s="15">
        <f>辅助表!I50</f>
        <v>25.918718881593442</v>
      </c>
      <c r="J165" s="14">
        <f>辅助表!J50</f>
        <v>32.738661483858905</v>
      </c>
      <c r="K165" s="7"/>
    </row>
    <row r="166" spans="1:11" hidden="1" x14ac:dyDescent="0.25">
      <c r="B166" s="6" t="s">
        <v>49</v>
      </c>
      <c r="C166" s="6">
        <f t="shared" ref="C166:J167" si="363">RANK(C164,164:164,1)</f>
        <v>3</v>
      </c>
      <c r="D166" s="6">
        <f t="shared" si="363"/>
        <v>8</v>
      </c>
      <c r="E166" s="6">
        <f t="shared" si="363"/>
        <v>5</v>
      </c>
      <c r="F166" s="6">
        <f t="shared" si="363"/>
        <v>1</v>
      </c>
      <c r="G166" s="6">
        <f t="shared" si="363"/>
        <v>7</v>
      </c>
      <c r="H166" s="6">
        <f t="shared" si="363"/>
        <v>2</v>
      </c>
      <c r="I166" s="6">
        <f t="shared" si="363"/>
        <v>6</v>
      </c>
      <c r="J166" s="6">
        <f t="shared" si="363"/>
        <v>4</v>
      </c>
    </row>
    <row r="167" spans="1:11" hidden="1" x14ac:dyDescent="0.25">
      <c r="B167" s="6" t="s">
        <v>48</v>
      </c>
      <c r="C167" s="6">
        <f t="shared" si="363"/>
        <v>6</v>
      </c>
      <c r="D167" s="6">
        <f t="shared" si="363"/>
        <v>8</v>
      </c>
      <c r="E167" s="6">
        <f t="shared" si="363"/>
        <v>2</v>
      </c>
      <c r="F167" s="6">
        <f t="shared" si="363"/>
        <v>5</v>
      </c>
      <c r="G167" s="6">
        <f t="shared" si="363"/>
        <v>7</v>
      </c>
      <c r="H167" s="6">
        <f t="shared" si="363"/>
        <v>3</v>
      </c>
      <c r="I167" s="6">
        <f t="shared" si="363"/>
        <v>1</v>
      </c>
      <c r="J167" s="6">
        <f t="shared" si="363"/>
        <v>4</v>
      </c>
    </row>
    <row r="168" spans="1:11" hidden="1" x14ac:dyDescent="0.25">
      <c r="B168" s="6" t="s">
        <v>50</v>
      </c>
      <c r="C168" s="6">
        <f t="shared" ref="C168" si="364">C166+C167</f>
        <v>9</v>
      </c>
      <c r="D168" s="6">
        <f t="shared" ref="D168" si="365">D166+D167</f>
        <v>16</v>
      </c>
      <c r="E168" s="6">
        <f t="shared" ref="E168" si="366">E166+E167</f>
        <v>7</v>
      </c>
      <c r="F168" s="6">
        <f t="shared" ref="F168" si="367">F166+F167</f>
        <v>6</v>
      </c>
      <c r="G168" s="6">
        <f t="shared" ref="G168" si="368">G166+G167</f>
        <v>14</v>
      </c>
      <c r="H168" s="6">
        <f t="shared" ref="H168" si="369">H166+H167</f>
        <v>5</v>
      </c>
      <c r="I168" s="6">
        <f t="shared" ref="I168" si="370">I166+I167</f>
        <v>7</v>
      </c>
      <c r="J168" s="6">
        <f t="shared" ref="J168" si="371">J166+J167</f>
        <v>8</v>
      </c>
    </row>
    <row r="169" spans="1:11" hidden="1" x14ac:dyDescent="0.25">
      <c r="B169" s="6" t="s">
        <v>53</v>
      </c>
      <c r="C169" s="6">
        <f t="shared" ref="C169:J169" si="372">RANK(C168,168:168,1)</f>
        <v>6</v>
      </c>
      <c r="D169" s="6">
        <f t="shared" si="372"/>
        <v>8</v>
      </c>
      <c r="E169" s="6">
        <f t="shared" si="372"/>
        <v>3</v>
      </c>
      <c r="F169" s="6">
        <f t="shared" si="372"/>
        <v>2</v>
      </c>
      <c r="G169" s="6">
        <f t="shared" si="372"/>
        <v>7</v>
      </c>
      <c r="H169" s="6">
        <f t="shared" si="372"/>
        <v>1</v>
      </c>
      <c r="I169" s="6">
        <f t="shared" si="372"/>
        <v>3</v>
      </c>
      <c r="J169" s="6">
        <f t="shared" si="372"/>
        <v>5</v>
      </c>
    </row>
    <row r="170" spans="1:11" hidden="1" x14ac:dyDescent="0.25">
      <c r="B170" s="6" t="s">
        <v>52</v>
      </c>
      <c r="C170" s="6" t="str">
        <f t="shared" ref="C170" si="373">IF(C169&gt;C169,"-",IF(C169=C169,"=","+"))</f>
        <v>=</v>
      </c>
      <c r="D170" s="6" t="str">
        <f t="shared" ref="D170" si="374">IF(D169&gt;C169,"-",IF(D169=C169,"=","+"))</f>
        <v>-</v>
      </c>
      <c r="E170" s="6" t="str">
        <f t="shared" ref="E170" si="375">IF(E169&gt;C169,"-",IF(E169=C169,"=","+"))</f>
        <v>+</v>
      </c>
      <c r="F170" s="6" t="str">
        <f t="shared" ref="F170" si="376">IF(F169&gt;C169,"-",IF(F169=C169,"=","+"))</f>
        <v>+</v>
      </c>
      <c r="G170" s="6" t="str">
        <f t="shared" ref="G170" si="377">IF(G169&gt;C169,"-",IF(G169=C169,"=","+"))</f>
        <v>-</v>
      </c>
      <c r="H170" s="6" t="str">
        <f t="shared" ref="H170" si="378">IF(H169&gt;C169,"-",IF(H169=C169,"=","+"))</f>
        <v>+</v>
      </c>
      <c r="I170" s="6" t="str">
        <f t="shared" ref="I170" si="379">IF(I169&gt;C169,"-",IF(I169=C169,"=","+"))</f>
        <v>+</v>
      </c>
      <c r="J170" s="6" t="str">
        <f>IF(J169&gt;C169,"-",IF(J169=C169,"=","+"))</f>
        <v>+</v>
      </c>
    </row>
    <row r="171" spans="1:11" x14ac:dyDescent="0.25">
      <c r="A171" s="6" t="s">
        <v>38</v>
      </c>
      <c r="B171" s="6" t="s">
        <v>12</v>
      </c>
      <c r="C171" s="7">
        <f>辅助表!C51</f>
        <v>3096.9772797828541</v>
      </c>
      <c r="D171" s="7">
        <f>辅助表!D51</f>
        <v>3944.8410580457785</v>
      </c>
      <c r="E171" s="7">
        <f>辅助表!E51</f>
        <v>2949.6410016329883</v>
      </c>
      <c r="F171" s="7">
        <f>辅助表!F51</f>
        <v>2989.7997066287849</v>
      </c>
      <c r="G171" s="7">
        <f>辅助表!G51</f>
        <v>3023.3766119456136</v>
      </c>
      <c r="H171" s="7">
        <f>辅助表!H51</f>
        <v>3003.8440344594014</v>
      </c>
      <c r="I171" s="16">
        <f>辅助表!I51</f>
        <v>2933.9739241066359</v>
      </c>
      <c r="J171" s="7">
        <f>辅助表!J51</f>
        <v>2939.4019245879008</v>
      </c>
      <c r="K171" s="7"/>
    </row>
    <row r="172" spans="1:11" x14ac:dyDescent="0.25">
      <c r="A172" s="13"/>
      <c r="B172" s="13" t="s">
        <v>13</v>
      </c>
      <c r="C172" s="14">
        <f>辅助表!C52</f>
        <v>75.89513545187063</v>
      </c>
      <c r="D172" s="14">
        <f>辅助表!D52</f>
        <v>325.34017520639173</v>
      </c>
      <c r="E172" s="14">
        <f>辅助表!E52</f>
        <v>34.346676779927527</v>
      </c>
      <c r="F172" s="14">
        <f>辅助表!F52</f>
        <v>37.926120573527719</v>
      </c>
      <c r="G172" s="14">
        <f>辅助表!G52</f>
        <v>45.35738820169486</v>
      </c>
      <c r="H172" s="14">
        <f>辅助表!H52</f>
        <v>40.278601185658339</v>
      </c>
      <c r="I172" s="14">
        <f>辅助表!I52</f>
        <v>24.845943981774184</v>
      </c>
      <c r="J172" s="15">
        <f>辅助表!J52</f>
        <v>16.991067038360399</v>
      </c>
      <c r="K172" s="7"/>
    </row>
    <row r="173" spans="1:11" hidden="1" x14ac:dyDescent="0.25">
      <c r="B173" s="6" t="s">
        <v>49</v>
      </c>
      <c r="C173" s="6">
        <f t="shared" ref="C173:J174" si="380">RANK(C171,171:171,1)</f>
        <v>7</v>
      </c>
      <c r="D173" s="6">
        <f t="shared" si="380"/>
        <v>8</v>
      </c>
      <c r="E173" s="6">
        <f t="shared" si="380"/>
        <v>3</v>
      </c>
      <c r="F173" s="6">
        <f t="shared" si="380"/>
        <v>4</v>
      </c>
      <c r="G173" s="6">
        <f t="shared" si="380"/>
        <v>6</v>
      </c>
      <c r="H173" s="6">
        <f t="shared" si="380"/>
        <v>5</v>
      </c>
      <c r="I173" s="6">
        <f t="shared" si="380"/>
        <v>1</v>
      </c>
      <c r="J173" s="6">
        <f t="shared" si="380"/>
        <v>2</v>
      </c>
    </row>
    <row r="174" spans="1:11" hidden="1" x14ac:dyDescent="0.25">
      <c r="B174" s="6" t="s">
        <v>48</v>
      </c>
      <c r="C174" s="6">
        <f t="shared" si="380"/>
        <v>7</v>
      </c>
      <c r="D174" s="6">
        <f t="shared" si="380"/>
        <v>8</v>
      </c>
      <c r="E174" s="6">
        <f t="shared" si="380"/>
        <v>3</v>
      </c>
      <c r="F174" s="6">
        <f t="shared" si="380"/>
        <v>4</v>
      </c>
      <c r="G174" s="6">
        <f t="shared" si="380"/>
        <v>6</v>
      </c>
      <c r="H174" s="6">
        <f t="shared" si="380"/>
        <v>5</v>
      </c>
      <c r="I174" s="6">
        <f t="shared" si="380"/>
        <v>2</v>
      </c>
      <c r="J174" s="6">
        <f t="shared" si="380"/>
        <v>1</v>
      </c>
    </row>
    <row r="175" spans="1:11" hidden="1" x14ac:dyDescent="0.25">
      <c r="B175" s="6" t="s">
        <v>50</v>
      </c>
      <c r="C175" s="6">
        <f t="shared" ref="C175" si="381">C173+C174</f>
        <v>14</v>
      </c>
      <c r="D175" s="6">
        <f t="shared" ref="D175" si="382">D173+D174</f>
        <v>16</v>
      </c>
      <c r="E175" s="6">
        <f t="shared" ref="E175" si="383">E173+E174</f>
        <v>6</v>
      </c>
      <c r="F175" s="6">
        <f t="shared" ref="F175" si="384">F173+F174</f>
        <v>8</v>
      </c>
      <c r="G175" s="6">
        <f t="shared" ref="G175" si="385">G173+G174</f>
        <v>12</v>
      </c>
      <c r="H175" s="6">
        <f t="shared" ref="H175" si="386">H173+H174</f>
        <v>10</v>
      </c>
      <c r="I175" s="6">
        <f t="shared" ref="I175" si="387">I173+I174</f>
        <v>3</v>
      </c>
      <c r="J175" s="6">
        <f t="shared" ref="J175" si="388">J173+J174</f>
        <v>3</v>
      </c>
    </row>
    <row r="176" spans="1:11" hidden="1" x14ac:dyDescent="0.25">
      <c r="B176" s="6" t="s">
        <v>53</v>
      </c>
      <c r="C176" s="6">
        <f t="shared" ref="C176:J176" si="389">RANK(C175,175:175,1)</f>
        <v>7</v>
      </c>
      <c r="D176" s="6">
        <f t="shared" si="389"/>
        <v>8</v>
      </c>
      <c r="E176" s="6">
        <f t="shared" si="389"/>
        <v>3</v>
      </c>
      <c r="F176" s="6">
        <f t="shared" si="389"/>
        <v>4</v>
      </c>
      <c r="G176" s="6">
        <f t="shared" si="389"/>
        <v>6</v>
      </c>
      <c r="H176" s="6">
        <f t="shared" si="389"/>
        <v>5</v>
      </c>
      <c r="I176" s="6">
        <f t="shared" si="389"/>
        <v>1</v>
      </c>
      <c r="J176" s="6">
        <f t="shared" si="389"/>
        <v>1</v>
      </c>
    </row>
    <row r="177" spans="1:11" hidden="1" x14ac:dyDescent="0.25">
      <c r="B177" s="6" t="s">
        <v>52</v>
      </c>
      <c r="C177" s="6" t="str">
        <f t="shared" ref="C177" si="390">IF(C176&gt;C176,"-",IF(C176=C176,"=","+"))</f>
        <v>=</v>
      </c>
      <c r="D177" s="6" t="str">
        <f t="shared" ref="D177" si="391">IF(D176&gt;C176,"-",IF(D176=C176,"=","+"))</f>
        <v>-</v>
      </c>
      <c r="E177" s="6" t="str">
        <f t="shared" ref="E177" si="392">IF(E176&gt;C176,"-",IF(E176=C176,"=","+"))</f>
        <v>+</v>
      </c>
      <c r="F177" s="6" t="str">
        <f t="shared" ref="F177" si="393">IF(F176&gt;C176,"-",IF(F176=C176,"=","+"))</f>
        <v>+</v>
      </c>
      <c r="G177" s="6" t="str">
        <f t="shared" ref="G177" si="394">IF(G176&gt;C176,"-",IF(G176=C176,"=","+"))</f>
        <v>+</v>
      </c>
      <c r="H177" s="6" t="str">
        <f t="shared" ref="H177" si="395">IF(H176&gt;C176,"-",IF(H176=C176,"=","+"))</f>
        <v>+</v>
      </c>
      <c r="I177" s="6" t="str">
        <f t="shared" ref="I177" si="396">IF(I176&gt;C176,"-",IF(I176=C176,"=","+"))</f>
        <v>+</v>
      </c>
      <c r="J177" s="6" t="str">
        <f>IF(J176&gt;C176,"-",IF(J176=C176,"=","+"))</f>
        <v>+</v>
      </c>
    </row>
    <row r="178" spans="1:11" x14ac:dyDescent="0.25">
      <c r="A178" s="6" t="s">
        <v>39</v>
      </c>
      <c r="B178" s="6" t="s">
        <v>12</v>
      </c>
      <c r="C178" s="7">
        <f>辅助表!C53</f>
        <v>6117.5374022030101</v>
      </c>
      <c r="D178" s="7">
        <f>辅助表!D53</f>
        <v>6331.4977644243345</v>
      </c>
      <c r="E178" s="7">
        <f>辅助表!E53</f>
        <v>5019.3812424241232</v>
      </c>
      <c r="F178" s="7">
        <f>辅助表!F53</f>
        <v>5315.0236914038542</v>
      </c>
      <c r="G178" s="16">
        <f>辅助表!G53</f>
        <v>3666.1316912185298</v>
      </c>
      <c r="H178" s="7">
        <f>辅助表!H53</f>
        <v>5688.761426225833</v>
      </c>
      <c r="I178" s="7">
        <f>辅助表!I53</f>
        <v>5017.4536503386744</v>
      </c>
      <c r="J178" s="7">
        <f>辅助表!J53</f>
        <v>4617.1352406278147</v>
      </c>
      <c r="K178" s="7"/>
    </row>
    <row r="179" spans="1:11" x14ac:dyDescent="0.25">
      <c r="A179" s="13"/>
      <c r="B179" s="13" t="s">
        <v>13</v>
      </c>
      <c r="C179" s="14">
        <f>辅助表!C54</f>
        <v>683.21294581719508</v>
      </c>
      <c r="D179" s="14">
        <f>辅助表!D54</f>
        <v>1234.9476255206237</v>
      </c>
      <c r="E179" s="14">
        <f>辅助表!E54</f>
        <v>450.58715749753151</v>
      </c>
      <c r="F179" s="14">
        <f>辅助表!F54</f>
        <v>408.17640116990805</v>
      </c>
      <c r="G179" s="15">
        <f>辅助表!G54</f>
        <v>95.97139504326033</v>
      </c>
      <c r="H179" s="14">
        <f>辅助表!H54</f>
        <v>334.55808795140064</v>
      </c>
      <c r="I179" s="14">
        <f>辅助表!I54</f>
        <v>510.14251379800839</v>
      </c>
      <c r="J179" s="14">
        <f>辅助表!J54</f>
        <v>934.32638813744188</v>
      </c>
      <c r="K179" s="7"/>
    </row>
    <row r="180" spans="1:11" hidden="1" x14ac:dyDescent="0.25">
      <c r="B180" s="6" t="s">
        <v>49</v>
      </c>
      <c r="C180" s="6">
        <f t="shared" ref="C180:J181" si="397">RANK(C178,178:178,1)</f>
        <v>7</v>
      </c>
      <c r="D180" s="6">
        <f t="shared" si="397"/>
        <v>8</v>
      </c>
      <c r="E180" s="6">
        <f t="shared" si="397"/>
        <v>4</v>
      </c>
      <c r="F180" s="6">
        <f t="shared" si="397"/>
        <v>5</v>
      </c>
      <c r="G180" s="6">
        <f t="shared" si="397"/>
        <v>1</v>
      </c>
      <c r="H180" s="6">
        <f t="shared" si="397"/>
        <v>6</v>
      </c>
      <c r="I180" s="6">
        <f t="shared" si="397"/>
        <v>3</v>
      </c>
      <c r="J180" s="6">
        <f t="shared" si="397"/>
        <v>2</v>
      </c>
    </row>
    <row r="181" spans="1:11" hidden="1" x14ac:dyDescent="0.25">
      <c r="B181" s="6" t="s">
        <v>48</v>
      </c>
      <c r="C181" s="6">
        <f t="shared" si="397"/>
        <v>6</v>
      </c>
      <c r="D181" s="6">
        <f t="shared" si="397"/>
        <v>8</v>
      </c>
      <c r="E181" s="6">
        <f t="shared" si="397"/>
        <v>4</v>
      </c>
      <c r="F181" s="6">
        <f t="shared" si="397"/>
        <v>3</v>
      </c>
      <c r="G181" s="6">
        <f t="shared" si="397"/>
        <v>1</v>
      </c>
      <c r="H181" s="6">
        <f t="shared" si="397"/>
        <v>2</v>
      </c>
      <c r="I181" s="6">
        <f t="shared" si="397"/>
        <v>5</v>
      </c>
      <c r="J181" s="6">
        <f t="shared" si="397"/>
        <v>7</v>
      </c>
    </row>
    <row r="182" spans="1:11" hidden="1" x14ac:dyDescent="0.25">
      <c r="B182" s="6" t="s">
        <v>50</v>
      </c>
      <c r="C182" s="6">
        <f t="shared" ref="C182" si="398">C180+C181</f>
        <v>13</v>
      </c>
      <c r="D182" s="6">
        <f t="shared" ref="D182" si="399">D180+D181</f>
        <v>16</v>
      </c>
      <c r="E182" s="6">
        <f t="shared" ref="E182" si="400">E180+E181</f>
        <v>8</v>
      </c>
      <c r="F182" s="6">
        <f t="shared" ref="F182" si="401">F180+F181</f>
        <v>8</v>
      </c>
      <c r="G182" s="6">
        <f t="shared" ref="G182" si="402">G180+G181</f>
        <v>2</v>
      </c>
      <c r="H182" s="6">
        <f t="shared" ref="H182" si="403">H180+H181</f>
        <v>8</v>
      </c>
      <c r="I182" s="6">
        <f t="shared" ref="I182" si="404">I180+I181</f>
        <v>8</v>
      </c>
      <c r="J182" s="6">
        <f t="shared" ref="J182" si="405">J180+J181</f>
        <v>9</v>
      </c>
    </row>
    <row r="183" spans="1:11" hidden="1" x14ac:dyDescent="0.25">
      <c r="B183" s="6" t="s">
        <v>53</v>
      </c>
      <c r="C183" s="6">
        <f t="shared" ref="C183:J183" si="406">RANK(C182,182:182,1)</f>
        <v>7</v>
      </c>
      <c r="D183" s="6">
        <f t="shared" si="406"/>
        <v>8</v>
      </c>
      <c r="E183" s="6">
        <f t="shared" si="406"/>
        <v>2</v>
      </c>
      <c r="F183" s="6">
        <f t="shared" si="406"/>
        <v>2</v>
      </c>
      <c r="G183" s="6">
        <f t="shared" si="406"/>
        <v>1</v>
      </c>
      <c r="H183" s="6">
        <f t="shared" si="406"/>
        <v>2</v>
      </c>
      <c r="I183" s="6">
        <f t="shared" si="406"/>
        <v>2</v>
      </c>
      <c r="J183" s="6">
        <f t="shared" si="406"/>
        <v>6</v>
      </c>
    </row>
    <row r="184" spans="1:11" hidden="1" x14ac:dyDescent="0.25">
      <c r="B184" s="6" t="s">
        <v>52</v>
      </c>
      <c r="C184" s="6" t="str">
        <f t="shared" ref="C184" si="407">IF(C183&gt;C183,"-",IF(C183=C183,"=","+"))</f>
        <v>=</v>
      </c>
      <c r="D184" s="6" t="str">
        <f t="shared" ref="D184" si="408">IF(D183&gt;C183,"-",IF(D183=C183,"=","+"))</f>
        <v>-</v>
      </c>
      <c r="E184" s="6" t="str">
        <f t="shared" ref="E184" si="409">IF(E183&gt;C183,"-",IF(E183=C183,"=","+"))</f>
        <v>+</v>
      </c>
      <c r="F184" s="6" t="str">
        <f t="shared" ref="F184" si="410">IF(F183&gt;C183,"-",IF(F183=C183,"=","+"))</f>
        <v>+</v>
      </c>
      <c r="G184" s="6" t="str">
        <f t="shared" ref="G184" si="411">IF(G183&gt;C183,"-",IF(G183=C183,"=","+"))</f>
        <v>+</v>
      </c>
      <c r="H184" s="6" t="str">
        <f t="shared" ref="H184" si="412">IF(H183&gt;C183,"-",IF(H183=C183,"=","+"))</f>
        <v>+</v>
      </c>
      <c r="I184" s="6" t="str">
        <f t="shared" ref="I184" si="413">IF(I183&gt;C183,"-",IF(I183=C183,"=","+"))</f>
        <v>+</v>
      </c>
      <c r="J184" s="6" t="str">
        <f>IF(J183&gt;C183,"-",IF(J183=C183,"=","+"))</f>
        <v>+</v>
      </c>
    </row>
    <row r="185" spans="1:11" x14ac:dyDescent="0.25">
      <c r="A185" s="6" t="s">
        <v>40</v>
      </c>
      <c r="B185" s="6" t="s">
        <v>12</v>
      </c>
      <c r="C185" s="7">
        <f>辅助表!C55</f>
        <v>3308.5530283779499</v>
      </c>
      <c r="D185" s="7">
        <f>辅助表!D55</f>
        <v>3382.241541908918</v>
      </c>
      <c r="E185" s="7">
        <f>辅助表!E55</f>
        <v>3238.7412630161834</v>
      </c>
      <c r="F185" s="7">
        <f>辅助表!F55</f>
        <v>3304.0280275344921</v>
      </c>
      <c r="G185" s="7">
        <f>辅助表!G55</f>
        <v>3243.9246825371824</v>
      </c>
      <c r="H185" s="7">
        <f>辅助表!H55</f>
        <v>3306.7417711845378</v>
      </c>
      <c r="I185" s="16">
        <f>辅助表!I55</f>
        <v>3227.5072038205835</v>
      </c>
      <c r="J185" s="7">
        <f>辅助表!J55</f>
        <v>3238.6552573400481</v>
      </c>
      <c r="K185" s="7"/>
    </row>
    <row r="186" spans="1:11" x14ac:dyDescent="0.25">
      <c r="A186" s="13"/>
      <c r="B186" s="13" t="s">
        <v>13</v>
      </c>
      <c r="C186" s="14">
        <f>辅助表!C56</f>
        <v>45.313015569897317</v>
      </c>
      <c r="D186" s="14">
        <f>辅助表!D56</f>
        <v>69.570277432420653</v>
      </c>
      <c r="E186" s="14">
        <f>辅助表!E56</f>
        <v>17.254203014776373</v>
      </c>
      <c r="F186" s="14">
        <f>辅助表!F56</f>
        <v>41.49880116422954</v>
      </c>
      <c r="G186" s="15">
        <f>辅助表!G56</f>
        <v>15.276712794214736</v>
      </c>
      <c r="H186" s="14">
        <f>辅助表!H56</f>
        <v>43.904060795047791</v>
      </c>
      <c r="I186" s="14">
        <f>辅助表!I56</f>
        <v>18.092706654539665</v>
      </c>
      <c r="J186" s="14">
        <f>辅助表!J56</f>
        <v>15.767430893187141</v>
      </c>
      <c r="K186" s="7"/>
    </row>
    <row r="187" spans="1:11" hidden="1" x14ac:dyDescent="0.25">
      <c r="B187" s="6" t="s">
        <v>49</v>
      </c>
      <c r="C187" s="6">
        <f t="shared" ref="C187:J188" si="414">RANK(C185,185:185,1)</f>
        <v>7</v>
      </c>
      <c r="D187" s="6">
        <f t="shared" si="414"/>
        <v>8</v>
      </c>
      <c r="E187" s="6">
        <f t="shared" si="414"/>
        <v>3</v>
      </c>
      <c r="F187" s="6">
        <f t="shared" si="414"/>
        <v>5</v>
      </c>
      <c r="G187" s="6">
        <f t="shared" si="414"/>
        <v>4</v>
      </c>
      <c r="H187" s="6">
        <f t="shared" si="414"/>
        <v>6</v>
      </c>
      <c r="I187" s="6">
        <f t="shared" si="414"/>
        <v>1</v>
      </c>
      <c r="J187" s="6">
        <f t="shared" si="414"/>
        <v>2</v>
      </c>
    </row>
    <row r="188" spans="1:11" hidden="1" x14ac:dyDescent="0.25">
      <c r="B188" s="6" t="s">
        <v>48</v>
      </c>
      <c r="C188" s="6">
        <f t="shared" si="414"/>
        <v>7</v>
      </c>
      <c r="D188" s="6">
        <f t="shared" si="414"/>
        <v>8</v>
      </c>
      <c r="E188" s="6">
        <f t="shared" si="414"/>
        <v>3</v>
      </c>
      <c r="F188" s="6">
        <f t="shared" si="414"/>
        <v>5</v>
      </c>
      <c r="G188" s="6">
        <f t="shared" si="414"/>
        <v>1</v>
      </c>
      <c r="H188" s="6">
        <f t="shared" si="414"/>
        <v>6</v>
      </c>
      <c r="I188" s="6">
        <f t="shared" si="414"/>
        <v>4</v>
      </c>
      <c r="J188" s="6">
        <f t="shared" si="414"/>
        <v>2</v>
      </c>
    </row>
    <row r="189" spans="1:11" hidden="1" x14ac:dyDescent="0.25">
      <c r="B189" s="6" t="s">
        <v>50</v>
      </c>
      <c r="C189" s="6">
        <f t="shared" ref="C189" si="415">C187+C188</f>
        <v>14</v>
      </c>
      <c r="D189" s="6">
        <f t="shared" ref="D189" si="416">D187+D188</f>
        <v>16</v>
      </c>
      <c r="E189" s="6">
        <f t="shared" ref="E189" si="417">E187+E188</f>
        <v>6</v>
      </c>
      <c r="F189" s="6">
        <f t="shared" ref="F189" si="418">F187+F188</f>
        <v>10</v>
      </c>
      <c r="G189" s="6">
        <f t="shared" ref="G189" si="419">G187+G188</f>
        <v>5</v>
      </c>
      <c r="H189" s="6">
        <f t="shared" ref="H189" si="420">H187+H188</f>
        <v>12</v>
      </c>
      <c r="I189" s="6">
        <f t="shared" ref="I189" si="421">I187+I188</f>
        <v>5</v>
      </c>
      <c r="J189" s="6">
        <f t="shared" ref="J189" si="422">J187+J188</f>
        <v>4</v>
      </c>
    </row>
    <row r="190" spans="1:11" hidden="1" x14ac:dyDescent="0.25">
      <c r="B190" s="6" t="s">
        <v>53</v>
      </c>
      <c r="C190" s="6">
        <f t="shared" ref="C190:J190" si="423">RANK(C189,189:189,1)</f>
        <v>7</v>
      </c>
      <c r="D190" s="6">
        <f t="shared" si="423"/>
        <v>8</v>
      </c>
      <c r="E190" s="6">
        <f t="shared" si="423"/>
        <v>4</v>
      </c>
      <c r="F190" s="6">
        <f t="shared" si="423"/>
        <v>5</v>
      </c>
      <c r="G190" s="6">
        <f t="shared" si="423"/>
        <v>2</v>
      </c>
      <c r="H190" s="6">
        <f t="shared" si="423"/>
        <v>6</v>
      </c>
      <c r="I190" s="6">
        <f t="shared" si="423"/>
        <v>2</v>
      </c>
      <c r="J190" s="6">
        <f t="shared" si="423"/>
        <v>1</v>
      </c>
    </row>
    <row r="191" spans="1:11" hidden="1" x14ac:dyDescent="0.25">
      <c r="B191" s="6" t="s">
        <v>52</v>
      </c>
      <c r="C191" s="6" t="str">
        <f t="shared" ref="C191" si="424">IF(C190&gt;C190,"-",IF(C190=C190,"=","+"))</f>
        <v>=</v>
      </c>
      <c r="D191" s="6" t="str">
        <f t="shared" ref="D191" si="425">IF(D190&gt;C190,"-",IF(D190=C190,"=","+"))</f>
        <v>-</v>
      </c>
      <c r="E191" s="6" t="str">
        <f t="shared" ref="E191" si="426">IF(E190&gt;C190,"-",IF(E190=C190,"=","+"))</f>
        <v>+</v>
      </c>
      <c r="F191" s="6" t="str">
        <f t="shared" ref="F191" si="427">IF(F190&gt;C190,"-",IF(F190=C190,"=","+"))</f>
        <v>+</v>
      </c>
      <c r="G191" s="6" t="str">
        <f t="shared" ref="G191" si="428">IF(G190&gt;C190,"-",IF(G190=C190,"=","+"))</f>
        <v>+</v>
      </c>
      <c r="H191" s="6" t="str">
        <f t="shared" ref="H191" si="429">IF(H190&gt;C190,"-",IF(H190=C190,"=","+"))</f>
        <v>+</v>
      </c>
      <c r="I191" s="6" t="str">
        <f t="shared" ref="I191" si="430">IF(I190&gt;C190,"-",IF(I190=C190,"=","+"))</f>
        <v>+</v>
      </c>
      <c r="J191" s="6" t="str">
        <f>IF(J190&gt;C190,"-",IF(J190=C190,"=","+"))</f>
        <v>+</v>
      </c>
    </row>
    <row r="192" spans="1:11" x14ac:dyDescent="0.25">
      <c r="A192" s="6" t="s">
        <v>41</v>
      </c>
      <c r="B192" s="6" t="s">
        <v>12</v>
      </c>
      <c r="C192" s="7">
        <f>辅助表!C57</f>
        <v>3786.3830075732571</v>
      </c>
      <c r="D192" s="7">
        <f>辅助表!D57</f>
        <v>5582.1160812841708</v>
      </c>
      <c r="E192" s="7">
        <f>辅助表!E57</f>
        <v>3351.7395747859928</v>
      </c>
      <c r="F192" s="7">
        <f>辅助表!F57</f>
        <v>3475.3471617638802</v>
      </c>
      <c r="G192" s="7">
        <f>辅助表!G57</f>
        <v>3741.9829595979945</v>
      </c>
      <c r="H192" s="7">
        <f>辅助表!H57</f>
        <v>3479.9520532395327</v>
      </c>
      <c r="I192" s="16">
        <f>辅助表!I57</f>
        <v>3340.2158272633214</v>
      </c>
      <c r="J192" s="7">
        <f>辅助表!J57</f>
        <v>3349.5025868025582</v>
      </c>
      <c r="K192" s="7"/>
    </row>
    <row r="193" spans="1:11" x14ac:dyDescent="0.25">
      <c r="A193" s="13"/>
      <c r="B193" s="13" t="s">
        <v>13</v>
      </c>
      <c r="C193" s="14">
        <f>辅助表!C58</f>
        <v>286.18839713967179</v>
      </c>
      <c r="D193" s="14">
        <f>辅助表!D58</f>
        <v>362.65302824706242</v>
      </c>
      <c r="E193" s="14">
        <f>辅助表!E58</f>
        <v>48.692327755014766</v>
      </c>
      <c r="F193" s="14">
        <f>辅助表!F58</f>
        <v>79.095383978044339</v>
      </c>
      <c r="G193" s="14">
        <f>辅助表!G58</f>
        <v>165.90128663481565</v>
      </c>
      <c r="H193" s="14">
        <f>辅助表!H58</f>
        <v>98.670461132499099</v>
      </c>
      <c r="I193" s="14">
        <f>辅助表!I58</f>
        <v>34.561910191077942</v>
      </c>
      <c r="J193" s="15">
        <f>辅助表!J58</f>
        <v>34.322402745158023</v>
      </c>
      <c r="K193" s="7"/>
    </row>
    <row r="194" spans="1:11" hidden="1" x14ac:dyDescent="0.25">
      <c r="B194" s="6" t="s">
        <v>49</v>
      </c>
      <c r="C194" s="6">
        <f t="shared" ref="C194:J195" si="431">RANK(C192,192:192,1)</f>
        <v>7</v>
      </c>
      <c r="D194" s="6">
        <f t="shared" si="431"/>
        <v>8</v>
      </c>
      <c r="E194" s="6">
        <f t="shared" si="431"/>
        <v>3</v>
      </c>
      <c r="F194" s="6">
        <f t="shared" si="431"/>
        <v>4</v>
      </c>
      <c r="G194" s="6">
        <f t="shared" si="431"/>
        <v>6</v>
      </c>
      <c r="H194" s="6">
        <f t="shared" si="431"/>
        <v>5</v>
      </c>
      <c r="I194" s="6">
        <f t="shared" si="431"/>
        <v>1</v>
      </c>
      <c r="J194" s="6">
        <f t="shared" si="431"/>
        <v>2</v>
      </c>
    </row>
    <row r="195" spans="1:11" hidden="1" x14ac:dyDescent="0.25">
      <c r="B195" s="6" t="s">
        <v>48</v>
      </c>
      <c r="C195" s="6">
        <f t="shared" si="431"/>
        <v>7</v>
      </c>
      <c r="D195" s="6">
        <f t="shared" si="431"/>
        <v>8</v>
      </c>
      <c r="E195" s="6">
        <f t="shared" si="431"/>
        <v>3</v>
      </c>
      <c r="F195" s="6">
        <f t="shared" si="431"/>
        <v>4</v>
      </c>
      <c r="G195" s="6">
        <f t="shared" si="431"/>
        <v>6</v>
      </c>
      <c r="H195" s="6">
        <f t="shared" si="431"/>
        <v>5</v>
      </c>
      <c r="I195" s="6">
        <f t="shared" si="431"/>
        <v>2</v>
      </c>
      <c r="J195" s="6">
        <f t="shared" si="431"/>
        <v>1</v>
      </c>
    </row>
    <row r="196" spans="1:11" hidden="1" x14ac:dyDescent="0.25">
      <c r="B196" s="6" t="s">
        <v>50</v>
      </c>
      <c r="C196" s="6">
        <f t="shared" ref="C196" si="432">C194+C195</f>
        <v>14</v>
      </c>
      <c r="D196" s="6">
        <f t="shared" ref="D196" si="433">D194+D195</f>
        <v>16</v>
      </c>
      <c r="E196" s="6">
        <f t="shared" ref="E196" si="434">E194+E195</f>
        <v>6</v>
      </c>
      <c r="F196" s="6">
        <f t="shared" ref="F196" si="435">F194+F195</f>
        <v>8</v>
      </c>
      <c r="G196" s="6">
        <f t="shared" ref="G196" si="436">G194+G195</f>
        <v>12</v>
      </c>
      <c r="H196" s="6">
        <f t="shared" ref="H196" si="437">H194+H195</f>
        <v>10</v>
      </c>
      <c r="I196" s="6">
        <f t="shared" ref="I196" si="438">I194+I195</f>
        <v>3</v>
      </c>
      <c r="J196" s="6">
        <f t="shared" ref="J196" si="439">J194+J195</f>
        <v>3</v>
      </c>
    </row>
    <row r="197" spans="1:11" hidden="1" x14ac:dyDescent="0.25">
      <c r="B197" s="6" t="s">
        <v>53</v>
      </c>
      <c r="C197" s="6">
        <f t="shared" ref="C197:J197" si="440">RANK(C196,196:196,1)</f>
        <v>7</v>
      </c>
      <c r="D197" s="6">
        <f t="shared" si="440"/>
        <v>8</v>
      </c>
      <c r="E197" s="6">
        <f t="shared" si="440"/>
        <v>3</v>
      </c>
      <c r="F197" s="6">
        <f t="shared" si="440"/>
        <v>4</v>
      </c>
      <c r="G197" s="6">
        <f t="shared" si="440"/>
        <v>6</v>
      </c>
      <c r="H197" s="6">
        <f t="shared" si="440"/>
        <v>5</v>
      </c>
      <c r="I197" s="6">
        <f t="shared" si="440"/>
        <v>1</v>
      </c>
      <c r="J197" s="6">
        <f t="shared" si="440"/>
        <v>1</v>
      </c>
    </row>
    <row r="198" spans="1:11" hidden="1" x14ac:dyDescent="0.25">
      <c r="B198" s="6" t="s">
        <v>52</v>
      </c>
      <c r="C198" s="6" t="str">
        <f t="shared" ref="C198" si="441">IF(C197&gt;C197,"-",IF(C197=C197,"=","+"))</f>
        <v>=</v>
      </c>
      <c r="D198" s="6" t="str">
        <f t="shared" ref="D198" si="442">IF(D197&gt;C197,"-",IF(D197=C197,"=","+"))</f>
        <v>-</v>
      </c>
      <c r="E198" s="6" t="str">
        <f t="shared" ref="E198" si="443">IF(E197&gt;C197,"-",IF(E197=C197,"=","+"))</f>
        <v>+</v>
      </c>
      <c r="F198" s="6" t="str">
        <f t="shared" ref="F198" si="444">IF(F197&gt;C197,"-",IF(F197=C197,"=","+"))</f>
        <v>+</v>
      </c>
      <c r="G198" s="6" t="str">
        <f t="shared" ref="G198" si="445">IF(G197&gt;C197,"-",IF(G197=C197,"=","+"))</f>
        <v>+</v>
      </c>
      <c r="H198" s="6" t="str">
        <f t="shared" ref="H198" si="446">IF(H197&gt;C197,"-",IF(H197=C197,"=","+"))</f>
        <v>+</v>
      </c>
      <c r="I198" s="6" t="str">
        <f t="shared" ref="I198" si="447">IF(I197&gt;C197,"-",IF(I197=C197,"=","+"))</f>
        <v>+</v>
      </c>
      <c r="J198" s="6" t="str">
        <f>IF(J197&gt;C197,"-",IF(J197=C197,"=","+"))</f>
        <v>+</v>
      </c>
    </row>
    <row r="199" spans="1:11" x14ac:dyDescent="0.25">
      <c r="A199" s="6" t="s">
        <v>42</v>
      </c>
      <c r="B199" s="6" t="s">
        <v>12</v>
      </c>
      <c r="C199" s="7">
        <f>辅助表!C59</f>
        <v>4267.3980279451889</v>
      </c>
      <c r="D199" s="7">
        <f>辅助表!D59</f>
        <v>5733.5736106632685</v>
      </c>
      <c r="E199" s="16">
        <f>辅助表!E59</f>
        <v>3904.0533210766894</v>
      </c>
      <c r="F199" s="7">
        <f>辅助表!F59</f>
        <v>4014.1818846590309</v>
      </c>
      <c r="G199" s="7">
        <f>辅助表!G59</f>
        <v>4306.590956337136</v>
      </c>
      <c r="H199" s="7">
        <f>辅助表!H59</f>
        <v>4000.4631725348668</v>
      </c>
      <c r="I199" s="7">
        <f>辅助表!I59</f>
        <v>3932.4594304335592</v>
      </c>
      <c r="J199" s="7">
        <f>辅助表!J59</f>
        <v>3930.5895613239027</v>
      </c>
      <c r="K199" s="7"/>
    </row>
    <row r="200" spans="1:11" x14ac:dyDescent="0.25">
      <c r="A200" s="13"/>
      <c r="B200" s="13" t="s">
        <v>13</v>
      </c>
      <c r="C200" s="14">
        <f>辅助表!C60</f>
        <v>295.5905265139034</v>
      </c>
      <c r="D200" s="14">
        <f>辅助表!D60</f>
        <v>553.04823118753859</v>
      </c>
      <c r="E200" s="14">
        <f>辅助表!E60</f>
        <v>226.41682971912951</v>
      </c>
      <c r="F200" s="15">
        <f>辅助表!F60</f>
        <v>167.08967694223651</v>
      </c>
      <c r="G200" s="14">
        <f>辅助表!G60</f>
        <v>204.22834639010881</v>
      </c>
      <c r="H200" s="14">
        <f>辅助表!H60</f>
        <v>177.00872426250723</v>
      </c>
      <c r="I200" s="14">
        <f>辅助表!I60</f>
        <v>172.45994728148725</v>
      </c>
      <c r="J200" s="14">
        <f>辅助表!J60</f>
        <v>216.08538727208909</v>
      </c>
      <c r="K200" s="7"/>
    </row>
    <row r="201" spans="1:11" hidden="1" x14ac:dyDescent="0.25">
      <c r="B201" s="6" t="s">
        <v>49</v>
      </c>
      <c r="C201" s="6">
        <f t="shared" ref="C201:J202" si="448">RANK(C199,199:199,1)</f>
        <v>6</v>
      </c>
      <c r="D201" s="6">
        <f t="shared" si="448"/>
        <v>8</v>
      </c>
      <c r="E201" s="6">
        <f t="shared" si="448"/>
        <v>1</v>
      </c>
      <c r="F201" s="6">
        <f t="shared" si="448"/>
        <v>5</v>
      </c>
      <c r="G201" s="6">
        <f t="shared" si="448"/>
        <v>7</v>
      </c>
      <c r="H201" s="6">
        <f t="shared" si="448"/>
        <v>4</v>
      </c>
      <c r="I201" s="6">
        <f t="shared" si="448"/>
        <v>3</v>
      </c>
      <c r="J201" s="6">
        <f t="shared" si="448"/>
        <v>2</v>
      </c>
    </row>
    <row r="202" spans="1:11" hidden="1" x14ac:dyDescent="0.25">
      <c r="B202" s="6" t="s">
        <v>48</v>
      </c>
      <c r="C202" s="6">
        <f t="shared" si="448"/>
        <v>7</v>
      </c>
      <c r="D202" s="6">
        <f t="shared" si="448"/>
        <v>8</v>
      </c>
      <c r="E202" s="6">
        <f t="shared" si="448"/>
        <v>6</v>
      </c>
      <c r="F202" s="6">
        <f t="shared" si="448"/>
        <v>1</v>
      </c>
      <c r="G202" s="6">
        <f t="shared" si="448"/>
        <v>4</v>
      </c>
      <c r="H202" s="6">
        <f t="shared" si="448"/>
        <v>3</v>
      </c>
      <c r="I202" s="6">
        <f t="shared" si="448"/>
        <v>2</v>
      </c>
      <c r="J202" s="6">
        <f t="shared" si="448"/>
        <v>5</v>
      </c>
    </row>
    <row r="203" spans="1:11" hidden="1" x14ac:dyDescent="0.25">
      <c r="B203" s="6" t="s">
        <v>50</v>
      </c>
      <c r="C203" s="6">
        <f t="shared" ref="C203" si="449">C201+C202</f>
        <v>13</v>
      </c>
      <c r="D203" s="6">
        <f t="shared" ref="D203" si="450">D201+D202</f>
        <v>16</v>
      </c>
      <c r="E203" s="6">
        <f t="shared" ref="E203" si="451">E201+E202</f>
        <v>7</v>
      </c>
      <c r="F203" s="6">
        <f t="shared" ref="F203" si="452">F201+F202</f>
        <v>6</v>
      </c>
      <c r="G203" s="6">
        <f t="shared" ref="G203" si="453">G201+G202</f>
        <v>11</v>
      </c>
      <c r="H203" s="6">
        <f t="shared" ref="H203" si="454">H201+H202</f>
        <v>7</v>
      </c>
      <c r="I203" s="6">
        <f t="shared" ref="I203" si="455">I201+I202</f>
        <v>5</v>
      </c>
      <c r="J203" s="6">
        <f t="shared" ref="J203" si="456">J201+J202</f>
        <v>7</v>
      </c>
    </row>
    <row r="204" spans="1:11" hidden="1" x14ac:dyDescent="0.25">
      <c r="B204" s="6" t="s">
        <v>53</v>
      </c>
      <c r="C204" s="6">
        <f t="shared" ref="C204:J204" si="457">RANK(C203,203:203,1)</f>
        <v>7</v>
      </c>
      <c r="D204" s="6">
        <f t="shared" si="457"/>
        <v>8</v>
      </c>
      <c r="E204" s="6">
        <f t="shared" si="457"/>
        <v>3</v>
      </c>
      <c r="F204" s="6">
        <f t="shared" si="457"/>
        <v>2</v>
      </c>
      <c r="G204" s="6">
        <f t="shared" si="457"/>
        <v>6</v>
      </c>
      <c r="H204" s="6">
        <f t="shared" si="457"/>
        <v>3</v>
      </c>
      <c r="I204" s="6">
        <f t="shared" si="457"/>
        <v>1</v>
      </c>
      <c r="J204" s="6">
        <f t="shared" si="457"/>
        <v>3</v>
      </c>
    </row>
    <row r="205" spans="1:11" hidden="1" x14ac:dyDescent="0.25">
      <c r="B205" s="6" t="s">
        <v>52</v>
      </c>
      <c r="C205" s="6" t="str">
        <f t="shared" ref="C205" si="458">IF(C204&gt;C204,"-",IF(C204=C204,"=","+"))</f>
        <v>=</v>
      </c>
      <c r="D205" s="6" t="str">
        <f t="shared" ref="D205" si="459">IF(D204&gt;C204,"-",IF(D204=C204,"=","+"))</f>
        <v>-</v>
      </c>
      <c r="E205" s="6" t="str">
        <f t="shared" ref="E205" si="460">IF(E204&gt;C204,"-",IF(E204=C204,"=","+"))</f>
        <v>+</v>
      </c>
      <c r="F205" s="6" t="str">
        <f t="shared" ref="F205" si="461">IF(F204&gt;C204,"-",IF(F204=C204,"=","+"))</f>
        <v>+</v>
      </c>
      <c r="G205" s="6" t="str">
        <f t="shared" ref="G205" si="462">IF(G204&gt;C204,"-",IF(G204=C204,"=","+"))</f>
        <v>+</v>
      </c>
      <c r="H205" s="6" t="str">
        <f t="shared" ref="H205" si="463">IF(H204&gt;C204,"-",IF(H204=C204,"=","+"))</f>
        <v>+</v>
      </c>
      <c r="I205" s="6" t="str">
        <f t="shared" ref="I205" si="464">IF(I204&gt;C204,"-",IF(I204=C204,"=","+"))</f>
        <v>+</v>
      </c>
      <c r="J205" s="6" t="str">
        <f>IF(J204&gt;C204,"-",IF(J204=C204,"=","+"))</f>
        <v>+</v>
      </c>
    </row>
    <row r="206" spans="1:11" x14ac:dyDescent="0.25">
      <c r="A206" s="6" t="s">
        <v>43</v>
      </c>
      <c r="B206" s="6" t="s">
        <v>12</v>
      </c>
      <c r="C206" s="7">
        <f>辅助表!C61</f>
        <v>1194234.057195734</v>
      </c>
      <c r="D206" s="7">
        <f>辅助表!D61</f>
        <v>11043093.231203375</v>
      </c>
      <c r="E206" s="7">
        <f>辅助表!E61</f>
        <v>171521.79621592964</v>
      </c>
      <c r="F206" s="7">
        <f>辅助表!F61</f>
        <v>810306.92302895931</v>
      </c>
      <c r="G206" s="7">
        <f>辅助表!G61</f>
        <v>292747.33417191374</v>
      </c>
      <c r="H206" s="7">
        <f>辅助表!H61</f>
        <v>712997.95946254139</v>
      </c>
      <c r="I206" s="16">
        <f>辅助表!I61</f>
        <v>141556.86036739728</v>
      </c>
      <c r="J206" s="7">
        <f>辅助表!J61</f>
        <v>203740.93903068235</v>
      </c>
      <c r="K206" s="7"/>
    </row>
    <row r="207" spans="1:11" x14ac:dyDescent="0.25">
      <c r="A207" s="13"/>
      <c r="B207" s="13" t="s">
        <v>13</v>
      </c>
      <c r="C207" s="14">
        <f>辅助表!C62</f>
        <v>1663974.348979179</v>
      </c>
      <c r="D207" s="14">
        <f>辅助表!D62</f>
        <v>18450195.094435826</v>
      </c>
      <c r="E207" s="14">
        <f>辅助表!E62</f>
        <v>179498.85677104912</v>
      </c>
      <c r="F207" s="14">
        <f>辅助表!F62</f>
        <v>763161.80697183055</v>
      </c>
      <c r="G207" s="14">
        <f>辅助表!G62</f>
        <v>181961.9333456514</v>
      </c>
      <c r="H207" s="14">
        <f>辅助表!H62</f>
        <v>540307.82773907168</v>
      </c>
      <c r="I207" s="15">
        <f>辅助表!I62</f>
        <v>126632.68827018033</v>
      </c>
      <c r="J207" s="14">
        <f>辅助表!J62</f>
        <v>194230.34018229326</v>
      </c>
      <c r="K207" s="7"/>
    </row>
    <row r="208" spans="1:11" hidden="1" x14ac:dyDescent="0.25">
      <c r="B208" s="6" t="s">
        <v>49</v>
      </c>
      <c r="C208" s="6">
        <f t="shared" ref="C208:J209" si="465">RANK(C206,206:206,1)</f>
        <v>7</v>
      </c>
      <c r="D208" s="6">
        <f t="shared" si="465"/>
        <v>8</v>
      </c>
      <c r="E208" s="6">
        <f t="shared" si="465"/>
        <v>2</v>
      </c>
      <c r="F208" s="6">
        <f t="shared" si="465"/>
        <v>6</v>
      </c>
      <c r="G208" s="6">
        <f t="shared" si="465"/>
        <v>4</v>
      </c>
      <c r="H208" s="6">
        <f t="shared" si="465"/>
        <v>5</v>
      </c>
      <c r="I208" s="6">
        <f t="shared" si="465"/>
        <v>1</v>
      </c>
      <c r="J208" s="6">
        <f t="shared" si="465"/>
        <v>3</v>
      </c>
    </row>
    <row r="209" spans="1:10" hidden="1" x14ac:dyDescent="0.25">
      <c r="B209" s="6" t="s">
        <v>48</v>
      </c>
      <c r="C209" s="6">
        <f t="shared" si="465"/>
        <v>7</v>
      </c>
      <c r="D209" s="6">
        <f t="shared" si="465"/>
        <v>8</v>
      </c>
      <c r="E209" s="6">
        <f t="shared" si="465"/>
        <v>2</v>
      </c>
      <c r="F209" s="6">
        <f t="shared" si="465"/>
        <v>6</v>
      </c>
      <c r="G209" s="6">
        <f t="shared" si="465"/>
        <v>3</v>
      </c>
      <c r="H209" s="6">
        <f t="shared" si="465"/>
        <v>5</v>
      </c>
      <c r="I209" s="6">
        <f t="shared" si="465"/>
        <v>1</v>
      </c>
      <c r="J209" s="6">
        <f t="shared" si="465"/>
        <v>4</v>
      </c>
    </row>
    <row r="210" spans="1:10" hidden="1" x14ac:dyDescent="0.25">
      <c r="B210" s="6" t="s">
        <v>50</v>
      </c>
      <c r="C210" s="6">
        <f t="shared" ref="C210" si="466">C208+C209</f>
        <v>14</v>
      </c>
      <c r="D210" s="6">
        <f t="shared" ref="D210" si="467">D208+D209</f>
        <v>16</v>
      </c>
      <c r="E210" s="6">
        <f t="shared" ref="E210" si="468">E208+E209</f>
        <v>4</v>
      </c>
      <c r="F210" s="6">
        <f t="shared" ref="F210" si="469">F208+F209</f>
        <v>12</v>
      </c>
      <c r="G210" s="6">
        <f t="shared" ref="G210" si="470">G208+G209</f>
        <v>7</v>
      </c>
      <c r="H210" s="6">
        <f t="shared" ref="H210" si="471">H208+H209</f>
        <v>10</v>
      </c>
      <c r="I210" s="6">
        <f t="shared" ref="I210" si="472">I208+I209</f>
        <v>2</v>
      </c>
      <c r="J210" s="6">
        <f t="shared" ref="J210" si="473">J208+J209</f>
        <v>7</v>
      </c>
    </row>
    <row r="211" spans="1:10" hidden="1" x14ac:dyDescent="0.25">
      <c r="B211" s="6" t="s">
        <v>53</v>
      </c>
      <c r="C211" s="6">
        <f t="shared" ref="C211:J211" si="474">RANK(C210,210:210,1)</f>
        <v>7</v>
      </c>
      <c r="D211" s="6">
        <f t="shared" si="474"/>
        <v>8</v>
      </c>
      <c r="E211" s="6">
        <f t="shared" si="474"/>
        <v>2</v>
      </c>
      <c r="F211" s="6">
        <f t="shared" si="474"/>
        <v>6</v>
      </c>
      <c r="G211" s="6">
        <f t="shared" si="474"/>
        <v>3</v>
      </c>
      <c r="H211" s="6">
        <f t="shared" si="474"/>
        <v>5</v>
      </c>
      <c r="I211" s="6">
        <f t="shared" si="474"/>
        <v>1</v>
      </c>
      <c r="J211" s="6">
        <f t="shared" si="474"/>
        <v>3</v>
      </c>
    </row>
    <row r="212" spans="1:10" hidden="1" x14ac:dyDescent="0.25">
      <c r="B212" s="6" t="s">
        <v>52</v>
      </c>
      <c r="C212" s="6" t="str">
        <f t="shared" ref="C212" si="475">IF(C211&gt;C211,"-",IF(C211=C211,"=","+"))</f>
        <v>=</v>
      </c>
      <c r="D212" s="6" t="str">
        <f t="shared" ref="D212" si="476">IF(D211&gt;C211,"-",IF(D211=C211,"=","+"))</f>
        <v>-</v>
      </c>
      <c r="E212" s="6" t="str">
        <f t="shared" ref="E212" si="477">IF(E211&gt;C211,"-",IF(E211=C211,"=","+"))</f>
        <v>+</v>
      </c>
      <c r="F212" s="6" t="str">
        <f t="shared" ref="F212" si="478">IF(F211&gt;C211,"-",IF(F211=C211,"=","+"))</f>
        <v>+</v>
      </c>
      <c r="G212" s="6" t="str">
        <f t="shared" ref="G212" si="479">IF(G211&gt;C211,"-",IF(G211=C211,"=","+"))</f>
        <v>+</v>
      </c>
      <c r="H212" s="6" t="str">
        <f t="shared" ref="H212" si="480">IF(H211&gt;C211,"-",IF(H211=C211,"=","+"))</f>
        <v>+</v>
      </c>
      <c r="I212" s="6" t="str">
        <f t="shared" ref="I212" si="481">IF(I211&gt;C211,"-",IF(I211=C211,"=","+"))</f>
        <v>+</v>
      </c>
      <c r="J212" s="6" t="str">
        <f>IF(J211&gt;C211,"-",IF(J211=C211,"=","+"))</f>
        <v>+</v>
      </c>
    </row>
    <row r="213" spans="1:10" x14ac:dyDescent="0.25">
      <c r="A213" s="17" t="s">
        <v>44</v>
      </c>
      <c r="B213" s="17"/>
      <c r="C213" s="10">
        <f>辅助表!C63</f>
        <v>5.3</v>
      </c>
      <c r="D213" s="10">
        <f>辅助表!D63</f>
        <v>7.2666666666666666</v>
      </c>
      <c r="E213" s="10">
        <f>辅助表!E63</f>
        <v>3.8666666666666667</v>
      </c>
      <c r="F213" s="10">
        <f>辅助表!F63</f>
        <v>3.8333333333333335</v>
      </c>
      <c r="G213" s="10">
        <f>辅助表!G63</f>
        <v>5.4</v>
      </c>
      <c r="H213" s="10">
        <f>辅助表!H63</f>
        <v>3.9</v>
      </c>
      <c r="I213" s="10">
        <f>辅助表!I63</f>
        <v>3.6</v>
      </c>
      <c r="J213" s="10">
        <f>辅助表!J63</f>
        <v>2.8333333333333335</v>
      </c>
    </row>
    <row r="214" spans="1:10" x14ac:dyDescent="0.25">
      <c r="A214" s="18" t="s">
        <v>45</v>
      </c>
      <c r="B214" s="18"/>
      <c r="C214" s="6" t="s">
        <v>51</v>
      </c>
      <c r="D214" s="6" t="str">
        <f t="shared" ref="D214:J214" si="482">COUNTIF(D3:D212,"-")&amp;"/"&amp;COUNTIF(D3:D212,"==")&amp;"/"&amp;COUNTIF(D3:D212,"+")</f>
        <v>24/1/5</v>
      </c>
      <c r="E214" s="6" t="str">
        <f t="shared" si="482"/>
        <v>5/0/25</v>
      </c>
      <c r="F214" s="6" t="str">
        <f t="shared" si="482"/>
        <v>2/2/26</v>
      </c>
      <c r="G214" s="6" t="str">
        <f t="shared" si="482"/>
        <v>9/3/18</v>
      </c>
      <c r="H214" s="6" t="str">
        <f t="shared" si="482"/>
        <v>1/3/26</v>
      </c>
      <c r="I214" s="6" t="str">
        <f t="shared" si="482"/>
        <v>4/0/26</v>
      </c>
      <c r="J214" s="6" t="str">
        <f t="shared" si="482"/>
        <v>4/1/25</v>
      </c>
    </row>
    <row r="215" spans="1:10" x14ac:dyDescent="0.25">
      <c r="A215" s="17" t="s">
        <v>46</v>
      </c>
      <c r="B215" s="17"/>
      <c r="C215" s="10">
        <f>AVERAGE(C8,C15,C22,C29,C36,C43,C50,C57,C64,C71,C78,C85,C92,C99,C106,C113,C120,C127,C134,C141,C148,C155,C162,C169,C176,C183,C190,C197,C204,C211)</f>
        <v>6.0333333333333332</v>
      </c>
      <c r="D215" s="10">
        <f t="shared" ref="D215:J215" si="483">AVERAGE(D8,D15,D22,D29,D36,D43,D50,D57,D64,D71,D78,D85,D92,D99,D106,D113,D120,D127,D134,D141,D148,D155,D162,D169,D176,D183,D190,D197,D204,D211)</f>
        <v>6.833333333333333</v>
      </c>
      <c r="E215" s="10">
        <f t="shared" si="483"/>
        <v>3.6666666666666665</v>
      </c>
      <c r="F215" s="10">
        <f t="shared" si="483"/>
        <v>3.5</v>
      </c>
      <c r="G215" s="10">
        <f t="shared" si="483"/>
        <v>5.0666666666666664</v>
      </c>
      <c r="H215" s="10">
        <f t="shared" si="483"/>
        <v>3.7</v>
      </c>
      <c r="I215" s="10">
        <f t="shared" si="483"/>
        <v>2.4333333333333331</v>
      </c>
      <c r="J215" s="10">
        <f t="shared" si="483"/>
        <v>2.7</v>
      </c>
    </row>
    <row r="216" spans="1:10" ht="10.8" thickBot="1" x14ac:dyDescent="0.3">
      <c r="A216" s="19" t="s">
        <v>47</v>
      </c>
      <c r="B216" s="19"/>
      <c r="C216" s="5">
        <f t="shared" ref="C216:J216" si="484">RANK(C217,217:217,1)</f>
        <v>7</v>
      </c>
      <c r="D216" s="5">
        <f t="shared" si="484"/>
        <v>8</v>
      </c>
      <c r="E216" s="5">
        <f t="shared" si="484"/>
        <v>4</v>
      </c>
      <c r="F216" s="5">
        <f t="shared" si="484"/>
        <v>3</v>
      </c>
      <c r="G216" s="5">
        <f t="shared" si="484"/>
        <v>6</v>
      </c>
      <c r="H216" s="5">
        <f t="shared" si="484"/>
        <v>5</v>
      </c>
      <c r="I216" s="5">
        <f t="shared" si="484"/>
        <v>2</v>
      </c>
      <c r="J216" s="5">
        <f t="shared" si="484"/>
        <v>1</v>
      </c>
    </row>
    <row r="217" spans="1:10" hidden="1" x14ac:dyDescent="0.25">
      <c r="C217" s="6">
        <f>C213+C215</f>
        <v>11.333333333333332</v>
      </c>
      <c r="D217" s="6">
        <f t="shared" ref="D217:J217" si="485">D213+D215</f>
        <v>14.1</v>
      </c>
      <c r="E217" s="6">
        <f t="shared" si="485"/>
        <v>7.5333333333333332</v>
      </c>
      <c r="F217" s="6">
        <f t="shared" si="485"/>
        <v>7.3333333333333339</v>
      </c>
      <c r="G217" s="6">
        <f t="shared" si="485"/>
        <v>10.466666666666667</v>
      </c>
      <c r="H217" s="6">
        <f t="shared" si="485"/>
        <v>7.6</v>
      </c>
      <c r="I217" s="6">
        <f t="shared" si="485"/>
        <v>6.0333333333333332</v>
      </c>
      <c r="J217" s="6">
        <f t="shared" si="485"/>
        <v>5.5333333333333332</v>
      </c>
    </row>
  </sheetData>
  <mergeCells count="5">
    <mergeCell ref="A213:B213"/>
    <mergeCell ref="A214:B214"/>
    <mergeCell ref="A215:B215"/>
    <mergeCell ref="A216:B216"/>
    <mergeCell ref="C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0146-9836-4932-84B1-9D7DB04E77DE}">
  <dimension ref="A1:J66"/>
  <sheetViews>
    <sheetView topLeftCell="A52" workbookViewId="0">
      <selection activeCell="E68" sqref="E68"/>
    </sheetView>
  </sheetViews>
  <sheetFormatPr defaultRowHeight="13.8" x14ac:dyDescent="0.25"/>
  <cols>
    <col min="1" max="2" width="8.88671875" style="1"/>
    <col min="3" max="3" width="10" style="1" bestFit="1" customWidth="1"/>
    <col min="4" max="4" width="11.88671875" style="1" customWidth="1"/>
    <col min="5" max="5" width="10" style="1" bestFit="1" customWidth="1"/>
    <col min="6" max="6" width="9.77734375" style="1" customWidth="1"/>
    <col min="7" max="7" width="13.44140625" style="1" customWidth="1"/>
    <col min="8" max="8" width="10" style="1" bestFit="1" customWidth="1"/>
    <col min="9" max="9" width="9.44140625" style="1" customWidth="1"/>
    <col min="10" max="10" width="10" style="1" bestFit="1" customWidth="1"/>
    <col min="1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 t="s">
        <v>11</v>
      </c>
      <c r="B3" s="1" t="s">
        <v>12</v>
      </c>
      <c r="C3" s="2">
        <v>2302098114.42592</v>
      </c>
      <c r="D3" s="2">
        <v>25983918758.520245</v>
      </c>
      <c r="E3" s="2">
        <v>35688240.159095824</v>
      </c>
      <c r="F3" s="2">
        <v>495309937.32435608</v>
      </c>
      <c r="G3" s="2">
        <v>427679115.54133105</v>
      </c>
      <c r="H3" s="2">
        <v>485630390.50797212</v>
      </c>
      <c r="I3" s="2">
        <v>25992311.306208678</v>
      </c>
      <c r="J3" s="9">
        <v>24394090.933535136</v>
      </c>
    </row>
    <row r="4" spans="1:10" x14ac:dyDescent="0.25">
      <c r="B4" s="1" t="s">
        <v>13</v>
      </c>
      <c r="C4" s="2">
        <v>1025549971.2681342</v>
      </c>
      <c r="D4" s="2">
        <v>6777166484.789669</v>
      </c>
      <c r="E4" s="2">
        <v>20432903.609931838</v>
      </c>
      <c r="F4" s="2">
        <v>278757014.11913556</v>
      </c>
      <c r="G4" s="2">
        <v>206543215.92418608</v>
      </c>
      <c r="H4" s="2">
        <v>260119691.35410067</v>
      </c>
      <c r="I4" s="9">
        <v>14068291.944009842</v>
      </c>
      <c r="J4" s="2">
        <v>14882926.720280647</v>
      </c>
    </row>
    <row r="5" spans="1:10" x14ac:dyDescent="0.25">
      <c r="A5" s="1" t="s">
        <v>15</v>
      </c>
      <c r="B5" s="1" t="s">
        <v>12</v>
      </c>
      <c r="C5" s="2">
        <v>1.1421454094963452E+32</v>
      </c>
      <c r="D5" s="2">
        <v>5.5838832914440602E+37</v>
      </c>
      <c r="E5" s="2">
        <v>3.6232160917244838E+28</v>
      </c>
      <c r="F5" s="2">
        <v>6.0032475522030676E+31</v>
      </c>
      <c r="G5" s="2">
        <v>7.7946278776004693E+30</v>
      </c>
      <c r="H5" s="2">
        <v>7.6083723678410202E+32</v>
      </c>
      <c r="I5" s="2">
        <v>6.8063256661715885E+27</v>
      </c>
      <c r="J5" s="9">
        <v>1.0184731921978256E+27</v>
      </c>
    </row>
    <row r="6" spans="1:10" x14ac:dyDescent="0.25">
      <c r="B6" s="1" t="s">
        <v>13</v>
      </c>
      <c r="C6" s="2">
        <v>3.6284938924284446E+32</v>
      </c>
      <c r="D6" s="2">
        <v>2.4614382258114737E+38</v>
      </c>
      <c r="E6" s="2">
        <v>1.0309383993604646E+29</v>
      </c>
      <c r="F6" s="2">
        <v>2.3171127600109037E+32</v>
      </c>
      <c r="G6" s="2">
        <v>3.7168276909542311E+31</v>
      </c>
      <c r="H6" s="2">
        <v>4.157884980673908E+33</v>
      </c>
      <c r="I6" s="2">
        <v>3.2331306097181921E+28</v>
      </c>
      <c r="J6" s="9">
        <v>3.1997277715711766E+27</v>
      </c>
    </row>
    <row r="7" spans="1:10" x14ac:dyDescent="0.25">
      <c r="A7" s="1" t="s">
        <v>16</v>
      </c>
      <c r="B7" s="1" t="s">
        <v>12</v>
      </c>
      <c r="C7" s="2">
        <v>81278.806576516989</v>
      </c>
      <c r="D7" s="2">
        <v>88937.976421196174</v>
      </c>
      <c r="E7" s="2">
        <v>79389.602203076458</v>
      </c>
      <c r="F7" s="2">
        <v>71485.161819594825</v>
      </c>
      <c r="G7" s="2">
        <v>91541.140469547681</v>
      </c>
      <c r="H7" s="2">
        <v>72370.101787528256</v>
      </c>
      <c r="I7" s="2">
        <v>69450.501382821516</v>
      </c>
      <c r="J7" s="9">
        <v>66572.544466994616</v>
      </c>
    </row>
    <row r="8" spans="1:10" x14ac:dyDescent="0.25">
      <c r="B8" s="1" t="s">
        <v>13</v>
      </c>
      <c r="C8" s="2">
        <v>8529.3576218126618</v>
      </c>
      <c r="D8" s="9">
        <v>6058.1332923693535</v>
      </c>
      <c r="E8" s="2">
        <v>10646.740199830991</v>
      </c>
      <c r="F8" s="2">
        <v>7402.9582486144782</v>
      </c>
      <c r="G8" s="2">
        <v>6956.1384617891908</v>
      </c>
      <c r="H8" s="2">
        <v>6112.487441977325</v>
      </c>
      <c r="I8" s="2">
        <v>10095.785620274028</v>
      </c>
      <c r="J8" s="2">
        <v>9545.5028755385101</v>
      </c>
    </row>
    <row r="9" spans="1:10" x14ac:dyDescent="0.25">
      <c r="A9" s="1" t="s">
        <v>17</v>
      </c>
      <c r="B9" s="1" t="s">
        <v>12</v>
      </c>
      <c r="C9" s="2">
        <v>789.16251718936496</v>
      </c>
      <c r="D9" s="2">
        <v>3374.8981721369182</v>
      </c>
      <c r="E9" s="2">
        <v>555.40489065259021</v>
      </c>
      <c r="F9" s="2">
        <v>647.85349422659942</v>
      </c>
      <c r="G9" s="2">
        <v>635.54257468271499</v>
      </c>
      <c r="H9" s="2">
        <v>661.24301569546481</v>
      </c>
      <c r="I9" s="2">
        <v>556.80898058586797</v>
      </c>
      <c r="J9" s="9">
        <v>544.22697317173311</v>
      </c>
    </row>
    <row r="10" spans="1:10" x14ac:dyDescent="0.25">
      <c r="B10" s="1" t="s">
        <v>13</v>
      </c>
      <c r="C10" s="2">
        <v>128.62000453889152</v>
      </c>
      <c r="D10" s="2">
        <v>1146.5087820841627</v>
      </c>
      <c r="E10" s="2">
        <v>49.901797971029588</v>
      </c>
      <c r="F10" s="2">
        <v>62.976209969381941</v>
      </c>
      <c r="G10" s="2">
        <v>55.764655368816278</v>
      </c>
      <c r="H10" s="2">
        <v>81.612139261865877</v>
      </c>
      <c r="I10" s="2">
        <v>38.318548736166491</v>
      </c>
      <c r="J10" s="9">
        <v>27.241981301984055</v>
      </c>
    </row>
    <row r="11" spans="1:10" x14ac:dyDescent="0.25">
      <c r="A11" s="1" t="s">
        <v>18</v>
      </c>
      <c r="B11" s="1" t="s">
        <v>12</v>
      </c>
      <c r="C11" s="2">
        <v>628.66725462166357</v>
      </c>
      <c r="D11" s="2">
        <v>959.27739460623229</v>
      </c>
      <c r="E11" s="2">
        <v>669.35651271791983</v>
      </c>
      <c r="F11" s="9">
        <v>606.47935683202877</v>
      </c>
      <c r="G11" s="2">
        <v>781.02255961865501</v>
      </c>
      <c r="H11" s="2">
        <v>612.59429773758416</v>
      </c>
      <c r="I11" s="2">
        <v>648.24283016222319</v>
      </c>
      <c r="J11" s="2">
        <v>656.0168491439033</v>
      </c>
    </row>
    <row r="12" spans="1:10" x14ac:dyDescent="0.25">
      <c r="B12" s="1" t="s">
        <v>13</v>
      </c>
      <c r="C12" s="2">
        <v>30.262420152845589</v>
      </c>
      <c r="D12" s="9">
        <v>15.916184627547818</v>
      </c>
      <c r="E12" s="2">
        <v>39.415565587228336</v>
      </c>
      <c r="F12" s="2">
        <v>26.26433524051955</v>
      </c>
      <c r="G12" s="2">
        <v>46.814431279978898</v>
      </c>
      <c r="H12" s="2">
        <v>30.143565202323792</v>
      </c>
      <c r="I12" s="2">
        <v>38.608787589595032</v>
      </c>
      <c r="J12" s="2">
        <v>35.153659802225228</v>
      </c>
    </row>
    <row r="13" spans="1:10" x14ac:dyDescent="0.25">
      <c r="A13" s="1" t="s">
        <v>19</v>
      </c>
      <c r="B13" s="1" t="s">
        <v>12</v>
      </c>
      <c r="C13" s="2">
        <v>628.04986982602668</v>
      </c>
      <c r="D13" s="2">
        <v>666.75971198355751</v>
      </c>
      <c r="E13" s="2">
        <v>604.95730603960828</v>
      </c>
      <c r="F13" s="2">
        <v>615.67127562535518</v>
      </c>
      <c r="G13" s="2">
        <v>644.98690804269006</v>
      </c>
      <c r="H13" s="2">
        <v>614.8699658429357</v>
      </c>
      <c r="I13" s="2">
        <v>603.97892046636991</v>
      </c>
      <c r="J13" s="9">
        <v>603.96236841146867</v>
      </c>
    </row>
    <row r="14" spans="1:10" x14ac:dyDescent="0.25">
      <c r="B14" s="1" t="s">
        <v>13</v>
      </c>
      <c r="C14" s="2">
        <v>5.9044319268231025</v>
      </c>
      <c r="D14" s="2">
        <v>6.3094422785208542</v>
      </c>
      <c r="E14" s="2">
        <v>2.7697521879608074</v>
      </c>
      <c r="F14" s="2">
        <v>5.0863130827952494</v>
      </c>
      <c r="G14" s="2">
        <v>8.9013292830583417</v>
      </c>
      <c r="H14" s="2">
        <v>4.6966603299888519</v>
      </c>
      <c r="I14" s="9">
        <v>1.6536937357186354</v>
      </c>
      <c r="J14" s="2">
        <v>2.6525179097676728</v>
      </c>
    </row>
    <row r="15" spans="1:10" x14ac:dyDescent="0.25">
      <c r="A15" s="1" t="s">
        <v>20</v>
      </c>
      <c r="B15" s="1" t="s">
        <v>12</v>
      </c>
      <c r="C15" s="2">
        <v>1102.5823947959034</v>
      </c>
      <c r="D15" s="2">
        <v>1391.1802144110172</v>
      </c>
      <c r="E15" s="2">
        <v>951.93518219027533</v>
      </c>
      <c r="F15" s="2">
        <v>946.33450734294865</v>
      </c>
      <c r="G15" s="2">
        <v>972.74784304529805</v>
      </c>
      <c r="H15" s="2">
        <v>962.09158377279834</v>
      </c>
      <c r="I15" s="2">
        <v>945.78122226328037</v>
      </c>
      <c r="J15" s="9">
        <v>942.77718926559851</v>
      </c>
    </row>
    <row r="16" spans="1:10" x14ac:dyDescent="0.25">
      <c r="B16" s="1" t="s">
        <v>13</v>
      </c>
      <c r="C16" s="2">
        <v>52.682322162829728</v>
      </c>
      <c r="D16" s="2">
        <v>62.16918902361251</v>
      </c>
      <c r="E16" s="2">
        <v>37.483240651636386</v>
      </c>
      <c r="F16" s="2">
        <v>29.864303522146468</v>
      </c>
      <c r="G16" s="2">
        <v>63.456735404551871</v>
      </c>
      <c r="H16" s="2">
        <v>32.308002642322428</v>
      </c>
      <c r="I16" s="2">
        <v>30.375834185798265</v>
      </c>
      <c r="J16" s="9">
        <v>28.927907032705811</v>
      </c>
    </row>
    <row r="17" spans="1:10" x14ac:dyDescent="0.25">
      <c r="A17" s="1" t="s">
        <v>21</v>
      </c>
      <c r="B17" s="1" t="s">
        <v>12</v>
      </c>
      <c r="C17" s="2">
        <v>923.89283010129759</v>
      </c>
      <c r="D17" s="2">
        <v>1179.0605378127264</v>
      </c>
      <c r="E17" s="2">
        <v>946.61106526773074</v>
      </c>
      <c r="F17" s="9">
        <v>897.10227831958878</v>
      </c>
      <c r="G17" s="2">
        <v>1082.1297229205763</v>
      </c>
      <c r="H17" s="2">
        <v>896.92842545718065</v>
      </c>
      <c r="I17" s="2">
        <v>942.05985155719384</v>
      </c>
      <c r="J17" s="2">
        <v>939.91691365364227</v>
      </c>
    </row>
    <row r="18" spans="1:10" x14ac:dyDescent="0.25">
      <c r="B18" s="1" t="s">
        <v>13</v>
      </c>
      <c r="C18" s="2">
        <v>28.026478164066795</v>
      </c>
      <c r="D18" s="9">
        <v>10.178010832881235</v>
      </c>
      <c r="E18" s="2">
        <v>39.176027862685601</v>
      </c>
      <c r="F18" s="2">
        <v>21.451869630336272</v>
      </c>
      <c r="G18" s="2">
        <v>55.934659467906719</v>
      </c>
      <c r="H18" s="2">
        <v>24.19491168984975</v>
      </c>
      <c r="I18" s="2">
        <v>28.487562005706032</v>
      </c>
      <c r="J18" s="2">
        <v>35.827592745913655</v>
      </c>
    </row>
    <row r="19" spans="1:10" x14ac:dyDescent="0.25">
      <c r="A19" s="1" t="s">
        <v>22</v>
      </c>
      <c r="B19" s="1" t="s">
        <v>12</v>
      </c>
      <c r="C19" s="2">
        <v>4782.312954268732</v>
      </c>
      <c r="D19" s="2">
        <v>12050.806577489107</v>
      </c>
      <c r="E19" s="2">
        <v>1670.6830701866088</v>
      </c>
      <c r="F19" s="2">
        <v>1970.4049553250593</v>
      </c>
      <c r="G19" s="2">
        <v>11931.686460202885</v>
      </c>
      <c r="H19" s="2">
        <v>1952.8275335244191</v>
      </c>
      <c r="I19" s="9">
        <v>1344.0778906949179</v>
      </c>
      <c r="J19" s="2">
        <v>1346.5581639329307</v>
      </c>
    </row>
    <row r="20" spans="1:10" x14ac:dyDescent="0.25">
      <c r="B20" s="1" t="s">
        <v>13</v>
      </c>
      <c r="C20" s="2">
        <v>1433.0722825031246</v>
      </c>
      <c r="D20" s="2">
        <v>1162.5028628862906</v>
      </c>
      <c r="E20" s="2">
        <v>512.83792441000207</v>
      </c>
      <c r="F20" s="2">
        <v>489.69269117252099</v>
      </c>
      <c r="G20" s="2">
        <v>1612.9628892228957</v>
      </c>
      <c r="H20" s="2">
        <v>571.55852919058134</v>
      </c>
      <c r="I20" s="2">
        <v>448.55359311079798</v>
      </c>
      <c r="J20" s="9">
        <v>318.64074511551144</v>
      </c>
    </row>
    <row r="21" spans="1:10" x14ac:dyDescent="0.25">
      <c r="A21" s="1" t="s">
        <v>23</v>
      </c>
      <c r="B21" s="1" t="s">
        <v>12</v>
      </c>
      <c r="C21" s="2">
        <v>8160.2524208783261</v>
      </c>
      <c r="D21" s="9">
        <v>5719.4171321104977</v>
      </c>
      <c r="E21" s="2">
        <v>8387.4080145948192</v>
      </c>
      <c r="F21" s="2">
        <v>8585.0957786371036</v>
      </c>
      <c r="G21" s="2">
        <v>6210.003988637397</v>
      </c>
      <c r="H21" s="2">
        <v>8749.0583742623476</v>
      </c>
      <c r="I21" s="2">
        <v>8554.8877262763017</v>
      </c>
      <c r="J21" s="2">
        <v>8557.1374368140041</v>
      </c>
    </row>
    <row r="22" spans="1:10" x14ac:dyDescent="0.25">
      <c r="B22" s="1" t="s">
        <v>13</v>
      </c>
      <c r="C22" s="2">
        <v>972.19868846285522</v>
      </c>
      <c r="D22" s="2">
        <v>910.58896786156595</v>
      </c>
      <c r="E22" s="2">
        <v>636.71530855857293</v>
      </c>
      <c r="F22" s="2">
        <v>364.79502899521219</v>
      </c>
      <c r="G22" s="2">
        <v>1092.4419547801203</v>
      </c>
      <c r="H22" s="9">
        <v>257.01321084392163</v>
      </c>
      <c r="I22" s="2">
        <v>350.19643241777504</v>
      </c>
      <c r="J22" s="2">
        <v>491.54594660055915</v>
      </c>
    </row>
    <row r="23" spans="1:10" x14ac:dyDescent="0.25">
      <c r="A23" s="1" t="s">
        <v>24</v>
      </c>
      <c r="B23" s="1" t="s">
        <v>12</v>
      </c>
      <c r="C23" s="2">
        <v>2137.6326656733286</v>
      </c>
      <c r="D23" s="2">
        <v>8885.0504839793812</v>
      </c>
      <c r="E23" s="2">
        <v>1856.6566120858784</v>
      </c>
      <c r="F23" s="2">
        <v>1897.6677262088722</v>
      </c>
      <c r="G23" s="2">
        <v>2091.084635684595</v>
      </c>
      <c r="H23" s="2">
        <v>1888.9662673802188</v>
      </c>
      <c r="I23" s="2">
        <v>1618.7582551178868</v>
      </c>
      <c r="J23" s="9">
        <v>1603.6773683865467</v>
      </c>
    </row>
    <row r="24" spans="1:10" x14ac:dyDescent="0.25">
      <c r="B24" s="1" t="s">
        <v>13</v>
      </c>
      <c r="C24" s="2">
        <v>410.56216086500569</v>
      </c>
      <c r="D24" s="2">
        <v>3169.6618348634647</v>
      </c>
      <c r="E24" s="2">
        <v>324.21877750523544</v>
      </c>
      <c r="F24" s="2">
        <v>264.97190584609768</v>
      </c>
      <c r="G24" s="2">
        <v>415.48370014167591</v>
      </c>
      <c r="H24" s="2">
        <v>386.98088737276788</v>
      </c>
      <c r="I24" s="2">
        <v>208.62680613826021</v>
      </c>
      <c r="J24" s="9">
        <v>190.37640535776956</v>
      </c>
    </row>
    <row r="25" spans="1:10" x14ac:dyDescent="0.25">
      <c r="A25" s="1" t="s">
        <v>25</v>
      </c>
      <c r="B25" s="1" t="s">
        <v>12</v>
      </c>
      <c r="C25" s="2">
        <v>32267173.715460431</v>
      </c>
      <c r="D25" s="2">
        <v>436715567.59426957</v>
      </c>
      <c r="E25" s="2">
        <v>5196727.3043064829</v>
      </c>
      <c r="F25" s="2">
        <v>20023038.525738236</v>
      </c>
      <c r="G25" s="2">
        <v>8600945.3860351574</v>
      </c>
      <c r="H25" s="2">
        <v>13347706.175344607</v>
      </c>
      <c r="I25" s="9">
        <v>4718036.4001903003</v>
      </c>
      <c r="J25" s="2">
        <v>5369524.4543274334</v>
      </c>
    </row>
    <row r="26" spans="1:10" x14ac:dyDescent="0.25">
      <c r="B26" s="1" t="s">
        <v>13</v>
      </c>
      <c r="C26" s="2">
        <v>30461629.04074046</v>
      </c>
      <c r="D26" s="2">
        <v>365870959.97403079</v>
      </c>
      <c r="E26" s="2">
        <v>4355990.2580207344</v>
      </c>
      <c r="F26" s="2">
        <v>16393447.171530865</v>
      </c>
      <c r="G26" s="2">
        <v>5174653.3684896231</v>
      </c>
      <c r="H26" s="2">
        <v>12281807.362544712</v>
      </c>
      <c r="I26" s="9">
        <v>3324787.679420949</v>
      </c>
      <c r="J26" s="2">
        <v>5863423.8267025892</v>
      </c>
    </row>
    <row r="27" spans="1:10" x14ac:dyDescent="0.25">
      <c r="A27" s="1" t="s">
        <v>26</v>
      </c>
      <c r="B27" s="1" t="s">
        <v>12</v>
      </c>
      <c r="C27" s="2">
        <v>408059.40759967879</v>
      </c>
      <c r="D27" s="2">
        <v>69924136.375512198</v>
      </c>
      <c r="E27" s="2">
        <v>95042.518654016225</v>
      </c>
      <c r="F27" s="2">
        <v>104836.87273449932</v>
      </c>
      <c r="G27" s="2">
        <v>116311.34847370171</v>
      </c>
      <c r="H27" s="2">
        <v>317782.11688857054</v>
      </c>
      <c r="I27" s="9">
        <v>73296.874233939016</v>
      </c>
      <c r="J27" s="2">
        <v>80624.341591199685</v>
      </c>
    </row>
    <row r="28" spans="1:10" x14ac:dyDescent="0.25">
      <c r="B28" s="1" t="s">
        <v>13</v>
      </c>
      <c r="C28" s="2">
        <v>838312.19497439405</v>
      </c>
      <c r="D28" s="2">
        <v>145464467.76232108</v>
      </c>
      <c r="E28" s="2">
        <v>101339.29869838968</v>
      </c>
      <c r="F28" s="2">
        <v>71053.05533819471</v>
      </c>
      <c r="G28" s="2">
        <v>73021.704979988092</v>
      </c>
      <c r="H28" s="2">
        <v>1040408.4582524629</v>
      </c>
      <c r="I28" s="9">
        <v>42385.227277720922</v>
      </c>
      <c r="J28" s="2">
        <v>59224.123808576813</v>
      </c>
    </row>
    <row r="29" spans="1:10" x14ac:dyDescent="0.25">
      <c r="A29" s="1" t="s">
        <v>27</v>
      </c>
      <c r="B29" s="1" t="s">
        <v>12</v>
      </c>
      <c r="C29" s="2">
        <v>233681.28528065965</v>
      </c>
      <c r="D29" s="2">
        <v>367097.96313236753</v>
      </c>
      <c r="E29" s="2">
        <v>110701.64967535094</v>
      </c>
      <c r="F29" s="2">
        <v>234324.86882374901</v>
      </c>
      <c r="G29" s="2">
        <v>283622.67016970884</v>
      </c>
      <c r="H29" s="2">
        <v>177834.42694201591</v>
      </c>
      <c r="I29" s="2">
        <v>111347.19040157602</v>
      </c>
      <c r="J29" s="9">
        <v>80498.639259890318</v>
      </c>
    </row>
    <row r="30" spans="1:10" x14ac:dyDescent="0.25">
      <c r="B30" s="1" t="s">
        <v>13</v>
      </c>
      <c r="C30" s="2">
        <v>236405.89942772593</v>
      </c>
      <c r="D30" s="2">
        <v>463369.603082327</v>
      </c>
      <c r="E30" s="2">
        <v>100674.94604824223</v>
      </c>
      <c r="F30" s="2">
        <v>304715.02238907933</v>
      </c>
      <c r="G30" s="2">
        <v>263335.66954038967</v>
      </c>
      <c r="H30" s="2">
        <v>199903.37276832873</v>
      </c>
      <c r="I30" s="2">
        <v>113439.53422885953</v>
      </c>
      <c r="J30" s="9">
        <v>67923.14688178456</v>
      </c>
    </row>
    <row r="31" spans="1:10" x14ac:dyDescent="0.25">
      <c r="A31" s="1" t="s">
        <v>28</v>
      </c>
      <c r="B31" s="1" t="s">
        <v>12</v>
      </c>
      <c r="C31" s="2">
        <v>28972.361450950728</v>
      </c>
      <c r="D31" s="2">
        <v>205156.09548188045</v>
      </c>
      <c r="E31" s="2">
        <v>28948.454583969818</v>
      </c>
      <c r="F31" s="2">
        <v>25659.227150933395</v>
      </c>
      <c r="G31" s="2">
        <v>30715.04708078114</v>
      </c>
      <c r="H31" s="2">
        <v>27733.593615351143</v>
      </c>
      <c r="I31" s="9">
        <v>16445.594853691102</v>
      </c>
      <c r="J31" s="2">
        <v>18548.667837839188</v>
      </c>
    </row>
    <row r="32" spans="1:10" x14ac:dyDescent="0.25">
      <c r="B32" s="1" t="s">
        <v>13</v>
      </c>
      <c r="C32" s="2">
        <v>21752.194794994004</v>
      </c>
      <c r="D32" s="2">
        <v>384599.81951005419</v>
      </c>
      <c r="E32" s="2">
        <v>20753.916559172838</v>
      </c>
      <c r="F32" s="2">
        <v>26615.803523851548</v>
      </c>
      <c r="G32" s="2">
        <v>16769.442586352237</v>
      </c>
      <c r="H32" s="2">
        <v>30195.261377708455</v>
      </c>
      <c r="I32" s="9">
        <v>9922.5711957654785</v>
      </c>
      <c r="J32" s="2">
        <v>20406.118524335809</v>
      </c>
    </row>
    <row r="33" spans="1:10" x14ac:dyDescent="0.25">
      <c r="A33" s="1" t="s">
        <v>29</v>
      </c>
      <c r="B33" s="1" t="s">
        <v>12</v>
      </c>
      <c r="C33" s="2">
        <v>2801.135400138051</v>
      </c>
      <c r="D33" s="2">
        <v>4042.3706990131109</v>
      </c>
      <c r="E33" s="2">
        <v>3119.3280484866668</v>
      </c>
      <c r="F33" s="2">
        <v>2966.2487109829367</v>
      </c>
      <c r="G33" s="2">
        <v>3003.403987178785</v>
      </c>
      <c r="H33" s="9">
        <v>2745.9305534627379</v>
      </c>
      <c r="I33" s="2">
        <v>3168.5943235534205</v>
      </c>
      <c r="J33" s="2">
        <v>3281.9188259834523</v>
      </c>
    </row>
    <row r="34" spans="1:10" x14ac:dyDescent="0.25">
      <c r="B34" s="1" t="s">
        <v>13</v>
      </c>
      <c r="C34" s="9">
        <v>364.36572459565122</v>
      </c>
      <c r="D34" s="2">
        <v>425.19205327253781</v>
      </c>
      <c r="E34" s="2">
        <v>463.35780598713052</v>
      </c>
      <c r="F34" s="2">
        <v>459.03214119717262</v>
      </c>
      <c r="G34" s="2">
        <v>471.39401628533182</v>
      </c>
      <c r="H34" s="2">
        <v>365.98752946904153</v>
      </c>
      <c r="I34" s="2">
        <v>422.4382636685902</v>
      </c>
      <c r="J34" s="2">
        <v>388.59500024065539</v>
      </c>
    </row>
    <row r="35" spans="1:10" x14ac:dyDescent="0.25">
      <c r="A35" s="1" t="s">
        <v>30</v>
      </c>
      <c r="B35" s="1" t="s">
        <v>12</v>
      </c>
      <c r="C35" s="2">
        <v>2406.8369563367282</v>
      </c>
      <c r="D35" s="2">
        <v>2609.0395802546263</v>
      </c>
      <c r="E35" s="2">
        <v>2222.2096218300485</v>
      </c>
      <c r="F35" s="2">
        <v>2223.7905733029006</v>
      </c>
      <c r="G35" s="2">
        <v>2137.6178778741596</v>
      </c>
      <c r="H35" s="9">
        <v>2112.9262269309047</v>
      </c>
      <c r="I35" s="2">
        <v>2163.8912719047016</v>
      </c>
      <c r="J35" s="2">
        <v>2166.9647677883895</v>
      </c>
    </row>
    <row r="36" spans="1:10" x14ac:dyDescent="0.25">
      <c r="B36" s="1" t="s">
        <v>13</v>
      </c>
      <c r="C36" s="2">
        <v>280.7172014382258</v>
      </c>
      <c r="D36" s="2">
        <v>259.49466473812328</v>
      </c>
      <c r="E36" s="2">
        <v>221.89135577612879</v>
      </c>
      <c r="F36" s="2">
        <v>179.74630749247552</v>
      </c>
      <c r="G36" s="9">
        <v>157.95009436011901</v>
      </c>
      <c r="H36" s="2">
        <v>188.65478302310808</v>
      </c>
      <c r="I36" s="2">
        <v>215.89863856889005</v>
      </c>
      <c r="J36" s="2">
        <v>181.97287432083877</v>
      </c>
    </row>
    <row r="37" spans="1:10" x14ac:dyDescent="0.25">
      <c r="A37" s="1" t="s">
        <v>31</v>
      </c>
      <c r="B37" s="1" t="s">
        <v>12</v>
      </c>
      <c r="C37" s="2">
        <v>3875282.5060441769</v>
      </c>
      <c r="D37" s="2">
        <v>924576.2316666937</v>
      </c>
      <c r="E37" s="2">
        <v>1999161.7523573756</v>
      </c>
      <c r="F37" s="2">
        <v>1834081.1020049078</v>
      </c>
      <c r="G37" s="9">
        <v>460154.2535836976</v>
      </c>
      <c r="H37" s="2">
        <v>1865935.7201788654</v>
      </c>
      <c r="I37" s="2">
        <v>2940245.9825106263</v>
      </c>
      <c r="J37" s="2">
        <v>1281571.1558761369</v>
      </c>
    </row>
    <row r="38" spans="1:10" x14ac:dyDescent="0.25">
      <c r="B38" s="1" t="s">
        <v>13</v>
      </c>
      <c r="C38" s="2">
        <v>4198935.5681531634</v>
      </c>
      <c r="D38" s="2">
        <v>1093998.7668302734</v>
      </c>
      <c r="E38" s="2">
        <v>1674858.9393692913</v>
      </c>
      <c r="F38" s="2">
        <v>1758259.2992523056</v>
      </c>
      <c r="G38" s="9">
        <v>320135.81743222539</v>
      </c>
      <c r="H38" s="2">
        <v>1685708.2485709128</v>
      </c>
      <c r="I38" s="2">
        <v>2769895.4494733056</v>
      </c>
      <c r="J38" s="2">
        <v>1372768.9596036617</v>
      </c>
    </row>
    <row r="39" spans="1:10" x14ac:dyDescent="0.25">
      <c r="A39" s="1" t="s">
        <v>32</v>
      </c>
      <c r="B39" s="1" t="s">
        <v>12</v>
      </c>
      <c r="C39" s="2">
        <v>55317.863751401535</v>
      </c>
      <c r="D39" s="2">
        <v>4248615.4539797148</v>
      </c>
      <c r="E39" s="2">
        <v>22364.008463892042</v>
      </c>
      <c r="F39" s="2">
        <v>36510.737349197603</v>
      </c>
      <c r="G39" s="2">
        <v>45940.832813112735</v>
      </c>
      <c r="H39" s="2">
        <v>37343.623778459361</v>
      </c>
      <c r="I39" s="2">
        <v>17441.216613573015</v>
      </c>
      <c r="J39" s="9">
        <v>10423.089268454902</v>
      </c>
    </row>
    <row r="40" spans="1:10" x14ac:dyDescent="0.25">
      <c r="B40" s="1" t="s">
        <v>13</v>
      </c>
      <c r="C40" s="2">
        <v>94303.455349167998</v>
      </c>
      <c r="D40" s="2">
        <v>7242116.8904208932</v>
      </c>
      <c r="E40" s="2">
        <v>19260.243004108484</v>
      </c>
      <c r="F40" s="2">
        <v>71713.335461189345</v>
      </c>
      <c r="G40" s="2">
        <v>14681.688853498859</v>
      </c>
      <c r="H40" s="2">
        <v>53089.526046633859</v>
      </c>
      <c r="I40" s="2">
        <v>18908.720809468214</v>
      </c>
      <c r="J40" s="9">
        <v>9877.3713612654647</v>
      </c>
    </row>
    <row r="41" spans="1:10" x14ac:dyDescent="0.25">
      <c r="A41" s="1" t="s">
        <v>33</v>
      </c>
      <c r="B41" s="1" t="s">
        <v>12</v>
      </c>
      <c r="C41" s="2">
        <v>2686.8587225474848</v>
      </c>
      <c r="D41" s="2">
        <v>3205.0204349508499</v>
      </c>
      <c r="E41" s="2">
        <v>2606.2187369198828</v>
      </c>
      <c r="F41" s="2">
        <v>2654.4524906639631</v>
      </c>
      <c r="G41" s="2">
        <v>2833.2996716287248</v>
      </c>
      <c r="H41" s="9">
        <v>2543.1129481577873</v>
      </c>
      <c r="I41" s="2">
        <v>2649.9082681132745</v>
      </c>
      <c r="J41" s="2">
        <v>2548.8637864840998</v>
      </c>
    </row>
    <row r="42" spans="1:10" x14ac:dyDescent="0.25">
      <c r="B42" s="1" t="s">
        <v>13</v>
      </c>
      <c r="C42" s="2">
        <v>243.77943653833611</v>
      </c>
      <c r="D42" s="9">
        <v>110.88906685843239</v>
      </c>
      <c r="E42" s="2">
        <v>227.21412698268082</v>
      </c>
      <c r="F42" s="2">
        <v>162.20249972775798</v>
      </c>
      <c r="G42" s="2">
        <v>154.53706134058427</v>
      </c>
      <c r="H42" s="2">
        <v>237.07004111028618</v>
      </c>
      <c r="I42" s="2">
        <v>209.35497625017439</v>
      </c>
      <c r="J42" s="2">
        <v>246.90840188245133</v>
      </c>
    </row>
    <row r="43" spans="1:10" x14ac:dyDescent="0.25">
      <c r="A43" s="1" t="s">
        <v>34</v>
      </c>
      <c r="B43" s="1" t="s">
        <v>12</v>
      </c>
      <c r="C43" s="2">
        <v>2439.8244961174819</v>
      </c>
      <c r="D43" s="2">
        <v>2780.2788089731662</v>
      </c>
      <c r="E43" s="2">
        <v>2459.0654052503069</v>
      </c>
      <c r="F43" s="2">
        <v>2409.0731837596454</v>
      </c>
      <c r="G43" s="2">
        <v>2508.2917746982148</v>
      </c>
      <c r="H43" s="9">
        <v>2406.5666181094839</v>
      </c>
      <c r="I43" s="2">
        <v>2462.7233368734605</v>
      </c>
      <c r="J43" s="2">
        <v>2462.5332798144509</v>
      </c>
    </row>
    <row r="44" spans="1:10" x14ac:dyDescent="0.25">
      <c r="B44" s="1" t="s">
        <v>13</v>
      </c>
      <c r="C44" s="2">
        <v>25.12577301173134</v>
      </c>
      <c r="D44" s="2">
        <v>27.071936345527206</v>
      </c>
      <c r="E44" s="2">
        <v>42.164620517010462</v>
      </c>
      <c r="F44" s="2">
        <v>25.566110567997875</v>
      </c>
      <c r="G44" s="2">
        <v>179.9108532926362</v>
      </c>
      <c r="H44" s="9">
        <v>22.13209747793136</v>
      </c>
      <c r="I44" s="2">
        <v>39.061398793431664</v>
      </c>
      <c r="J44" s="2">
        <v>40.400087876797116</v>
      </c>
    </row>
    <row r="45" spans="1:10" x14ac:dyDescent="0.25">
      <c r="A45" s="1" t="s">
        <v>35</v>
      </c>
      <c r="B45" s="1" t="s">
        <v>12</v>
      </c>
      <c r="C45" s="2">
        <v>7852.0820741988564</v>
      </c>
      <c r="D45" s="2">
        <v>7067.2262362477859</v>
      </c>
      <c r="E45" s="2">
        <v>5599.4896281555939</v>
      </c>
      <c r="F45" s="2">
        <v>2523.2778872094582</v>
      </c>
      <c r="G45" s="2">
        <v>7383.1986020625691</v>
      </c>
      <c r="H45" s="2">
        <v>2792.7397342400905</v>
      </c>
      <c r="I45" s="9">
        <v>2403.4279569989103</v>
      </c>
      <c r="J45" s="2">
        <v>2763.8311047701568</v>
      </c>
    </row>
    <row r="46" spans="1:10" x14ac:dyDescent="0.25">
      <c r="B46" s="1" t="s">
        <v>13</v>
      </c>
      <c r="C46" s="2">
        <v>2492.0226468831097</v>
      </c>
      <c r="D46" s="2">
        <v>662.76179683456382</v>
      </c>
      <c r="E46" s="2">
        <v>3740.1372587862611</v>
      </c>
      <c r="F46" s="9">
        <v>92.440310237371008</v>
      </c>
      <c r="G46" s="2">
        <v>1175.3975533299651</v>
      </c>
      <c r="H46" s="2">
        <v>317.23090837910229</v>
      </c>
      <c r="I46" s="2">
        <v>176.75067230385696</v>
      </c>
      <c r="J46" s="2">
        <v>1002.7619790651563</v>
      </c>
    </row>
    <row r="47" spans="1:10" x14ac:dyDescent="0.25">
      <c r="A47" s="1" t="s">
        <v>36</v>
      </c>
      <c r="B47" s="1" t="s">
        <v>12</v>
      </c>
      <c r="C47" s="2">
        <v>2862.4834540335346</v>
      </c>
      <c r="D47" s="2">
        <v>3578.0421650955736</v>
      </c>
      <c r="E47" s="2">
        <v>2796.4454682409005</v>
      </c>
      <c r="F47" s="9">
        <v>2789.5224723377878</v>
      </c>
      <c r="G47" s="2">
        <v>2849.3921089132391</v>
      </c>
      <c r="H47" s="2">
        <v>2822.2576944445932</v>
      </c>
      <c r="I47" s="2">
        <v>2799.0150858641932</v>
      </c>
      <c r="J47" s="2">
        <v>2799.2235858582903</v>
      </c>
    </row>
    <row r="48" spans="1:10" x14ac:dyDescent="0.25">
      <c r="B48" s="1" t="s">
        <v>13</v>
      </c>
      <c r="C48" s="2">
        <v>58.389391352344077</v>
      </c>
      <c r="D48" s="2">
        <v>77.711176725436957</v>
      </c>
      <c r="E48" s="2">
        <v>28.378115916141237</v>
      </c>
      <c r="F48" s="9">
        <v>27.411097287489312</v>
      </c>
      <c r="G48" s="2">
        <v>40.849565740774182</v>
      </c>
      <c r="H48" s="2">
        <v>31.226009095130994</v>
      </c>
      <c r="I48" s="2">
        <v>45.261289896959639</v>
      </c>
      <c r="J48" s="2">
        <v>33.650634171262773</v>
      </c>
    </row>
    <row r="49" spans="1:10" x14ac:dyDescent="0.25">
      <c r="A49" s="1" t="s">
        <v>37</v>
      </c>
      <c r="B49" s="1" t="s">
        <v>12</v>
      </c>
      <c r="C49" s="2">
        <v>3007.3596971530269</v>
      </c>
      <c r="D49" s="2">
        <v>3617.696793518885</v>
      </c>
      <c r="E49" s="2">
        <v>3024.9410185679758</v>
      </c>
      <c r="F49" s="9">
        <v>2976.0107419649057</v>
      </c>
      <c r="G49" s="2">
        <v>3227.6787240281888</v>
      </c>
      <c r="H49" s="2">
        <v>2992.1473902089278</v>
      </c>
      <c r="I49" s="2">
        <v>3024.9583092356793</v>
      </c>
      <c r="J49" s="2">
        <v>3021.7790047484436</v>
      </c>
    </row>
    <row r="50" spans="1:10" x14ac:dyDescent="0.25">
      <c r="B50" s="1" t="s">
        <v>13</v>
      </c>
      <c r="C50" s="2">
        <v>50.012436985136993</v>
      </c>
      <c r="D50" s="2">
        <v>205.31337256148149</v>
      </c>
      <c r="E50" s="2">
        <v>27.981221363566817</v>
      </c>
      <c r="F50" s="2">
        <v>40.842734136733519</v>
      </c>
      <c r="G50" s="2">
        <v>134.07130279362937</v>
      </c>
      <c r="H50" s="2">
        <v>30.965086718892508</v>
      </c>
      <c r="I50" s="9">
        <v>25.918718881593442</v>
      </c>
      <c r="J50" s="2">
        <v>32.738661483858905</v>
      </c>
    </row>
    <row r="51" spans="1:10" x14ac:dyDescent="0.25">
      <c r="A51" s="1" t="s">
        <v>38</v>
      </c>
      <c r="B51" s="1" t="s">
        <v>12</v>
      </c>
      <c r="C51" s="2">
        <v>3096.9772797828541</v>
      </c>
      <c r="D51" s="2">
        <v>3944.8410580457785</v>
      </c>
      <c r="E51" s="2">
        <v>2949.6410016329883</v>
      </c>
      <c r="F51" s="2">
        <v>2989.7997066287849</v>
      </c>
      <c r="G51" s="2">
        <v>3023.3766119456136</v>
      </c>
      <c r="H51" s="2">
        <v>3003.8440344594014</v>
      </c>
      <c r="I51" s="9">
        <v>2933.9739241066359</v>
      </c>
      <c r="J51" s="2">
        <v>2939.4019245879008</v>
      </c>
    </row>
    <row r="52" spans="1:10" x14ac:dyDescent="0.25">
      <c r="B52" s="1" t="s">
        <v>13</v>
      </c>
      <c r="C52" s="2">
        <v>75.89513545187063</v>
      </c>
      <c r="D52" s="2">
        <v>325.34017520639173</v>
      </c>
      <c r="E52" s="2">
        <v>34.346676779927527</v>
      </c>
      <c r="F52" s="2">
        <v>37.926120573527719</v>
      </c>
      <c r="G52" s="2">
        <v>45.35738820169486</v>
      </c>
      <c r="H52" s="2">
        <v>40.278601185658339</v>
      </c>
      <c r="I52" s="2">
        <v>24.845943981774184</v>
      </c>
      <c r="J52" s="9">
        <v>16.991067038360399</v>
      </c>
    </row>
    <row r="53" spans="1:10" x14ac:dyDescent="0.25">
      <c r="A53" s="1" t="s">
        <v>39</v>
      </c>
      <c r="B53" s="1" t="s">
        <v>12</v>
      </c>
      <c r="C53" s="2">
        <v>6117.5374022030101</v>
      </c>
      <c r="D53" s="2">
        <v>6331.4977644243345</v>
      </c>
      <c r="E53" s="2">
        <v>5019.3812424241232</v>
      </c>
      <c r="F53" s="2">
        <v>5315.0236914038542</v>
      </c>
      <c r="G53" s="9">
        <v>3666.1316912185298</v>
      </c>
      <c r="H53" s="2">
        <v>5688.761426225833</v>
      </c>
      <c r="I53" s="2">
        <v>5017.4536503386744</v>
      </c>
      <c r="J53" s="2">
        <v>4617.1352406278147</v>
      </c>
    </row>
    <row r="54" spans="1:10" x14ac:dyDescent="0.25">
      <c r="B54" s="1" t="s">
        <v>13</v>
      </c>
      <c r="C54" s="2">
        <v>683.21294581719508</v>
      </c>
      <c r="D54" s="2">
        <v>1234.9476255206237</v>
      </c>
      <c r="E54" s="2">
        <v>450.58715749753151</v>
      </c>
      <c r="F54" s="2">
        <v>408.17640116990805</v>
      </c>
      <c r="G54" s="9">
        <v>95.97139504326033</v>
      </c>
      <c r="H54" s="2">
        <v>334.55808795140064</v>
      </c>
      <c r="I54" s="2">
        <v>510.14251379800839</v>
      </c>
      <c r="J54" s="2">
        <v>934.32638813744188</v>
      </c>
    </row>
    <row r="55" spans="1:10" x14ac:dyDescent="0.25">
      <c r="A55" s="1" t="s">
        <v>40</v>
      </c>
      <c r="B55" s="1" t="s">
        <v>12</v>
      </c>
      <c r="C55" s="2">
        <v>3308.5530283779499</v>
      </c>
      <c r="D55" s="2">
        <v>3382.241541908918</v>
      </c>
      <c r="E55" s="2">
        <v>3238.7412630161834</v>
      </c>
      <c r="F55" s="2">
        <v>3304.0280275344921</v>
      </c>
      <c r="G55" s="2">
        <v>3243.9246825371824</v>
      </c>
      <c r="H55" s="2">
        <v>3306.7417711845378</v>
      </c>
      <c r="I55" s="9">
        <v>3227.5072038205835</v>
      </c>
      <c r="J55" s="2">
        <v>3238.6552573400481</v>
      </c>
    </row>
    <row r="56" spans="1:10" x14ac:dyDescent="0.25">
      <c r="B56" s="1" t="s">
        <v>13</v>
      </c>
      <c r="C56" s="2">
        <v>45.313015569897317</v>
      </c>
      <c r="D56" s="2">
        <v>69.570277432420653</v>
      </c>
      <c r="E56" s="2">
        <v>17.254203014776373</v>
      </c>
      <c r="F56" s="2">
        <v>41.49880116422954</v>
      </c>
      <c r="G56" s="9">
        <v>15.276712794214736</v>
      </c>
      <c r="H56" s="2">
        <v>43.904060795047791</v>
      </c>
      <c r="I56" s="2">
        <v>18.092706654539665</v>
      </c>
      <c r="J56" s="2">
        <v>15.767430893187141</v>
      </c>
    </row>
    <row r="57" spans="1:10" x14ac:dyDescent="0.25">
      <c r="A57" s="1" t="s">
        <v>41</v>
      </c>
      <c r="B57" s="1" t="s">
        <v>12</v>
      </c>
      <c r="C57" s="2">
        <v>3786.3830075732571</v>
      </c>
      <c r="D57" s="2">
        <v>5582.1160812841708</v>
      </c>
      <c r="E57" s="2">
        <v>3351.7395747859928</v>
      </c>
      <c r="F57" s="2">
        <v>3475.3471617638802</v>
      </c>
      <c r="G57" s="2">
        <v>3741.9829595979945</v>
      </c>
      <c r="H57" s="2">
        <v>3479.9520532395327</v>
      </c>
      <c r="I57" s="9">
        <v>3340.2158272633214</v>
      </c>
      <c r="J57" s="2">
        <v>3349.5025868025582</v>
      </c>
    </row>
    <row r="58" spans="1:10" x14ac:dyDescent="0.25">
      <c r="B58" s="1" t="s">
        <v>13</v>
      </c>
      <c r="C58" s="2">
        <v>286.18839713967179</v>
      </c>
      <c r="D58" s="2">
        <v>362.65302824706242</v>
      </c>
      <c r="E58" s="2">
        <v>48.692327755014766</v>
      </c>
      <c r="F58" s="2">
        <v>79.095383978044339</v>
      </c>
      <c r="G58" s="2">
        <v>165.90128663481565</v>
      </c>
      <c r="H58" s="2">
        <v>98.670461132499099</v>
      </c>
      <c r="I58" s="2">
        <v>34.561910191077942</v>
      </c>
      <c r="J58" s="9">
        <v>34.322402745158023</v>
      </c>
    </row>
    <row r="59" spans="1:10" x14ac:dyDescent="0.25">
      <c r="A59" s="1" t="s">
        <v>42</v>
      </c>
      <c r="B59" s="1" t="s">
        <v>12</v>
      </c>
      <c r="C59" s="2">
        <v>4267.3980279451889</v>
      </c>
      <c r="D59" s="2">
        <v>5733.5736106632685</v>
      </c>
      <c r="E59" s="9">
        <v>3904.0533210766894</v>
      </c>
      <c r="F59" s="2">
        <v>4014.1818846590309</v>
      </c>
      <c r="G59" s="2">
        <v>4306.590956337136</v>
      </c>
      <c r="H59" s="2">
        <v>4000.4631725348668</v>
      </c>
      <c r="I59" s="2">
        <v>3932.4594304335592</v>
      </c>
      <c r="J59" s="2">
        <v>3930.5895613239027</v>
      </c>
    </row>
    <row r="60" spans="1:10" x14ac:dyDescent="0.25">
      <c r="B60" s="1" t="s">
        <v>13</v>
      </c>
      <c r="C60" s="2">
        <v>295.5905265139034</v>
      </c>
      <c r="D60" s="2">
        <v>553.04823118753859</v>
      </c>
      <c r="E60" s="2">
        <v>226.41682971912951</v>
      </c>
      <c r="F60" s="9">
        <v>167.08967694223651</v>
      </c>
      <c r="G60" s="2">
        <v>204.22834639010881</v>
      </c>
      <c r="H60" s="2">
        <v>177.00872426250723</v>
      </c>
      <c r="I60" s="2">
        <v>172.45994728148725</v>
      </c>
      <c r="J60" s="2">
        <v>216.08538727208909</v>
      </c>
    </row>
    <row r="61" spans="1:10" x14ac:dyDescent="0.25">
      <c r="A61" s="1" t="s">
        <v>43</v>
      </c>
      <c r="B61" s="1" t="s">
        <v>12</v>
      </c>
      <c r="C61" s="2">
        <v>1194234.057195734</v>
      </c>
      <c r="D61" s="2">
        <v>11043093.231203375</v>
      </c>
      <c r="E61" s="2">
        <v>171521.79621592964</v>
      </c>
      <c r="F61" s="2">
        <v>810306.92302895931</v>
      </c>
      <c r="G61" s="2">
        <v>292747.33417191374</v>
      </c>
      <c r="H61" s="2">
        <v>712997.95946254139</v>
      </c>
      <c r="I61" s="9">
        <v>141556.86036739728</v>
      </c>
      <c r="J61" s="2">
        <v>203740.93903068235</v>
      </c>
    </row>
    <row r="62" spans="1:10" x14ac:dyDescent="0.25">
      <c r="B62" s="1" t="s">
        <v>13</v>
      </c>
      <c r="C62" s="2">
        <v>1663974.348979179</v>
      </c>
      <c r="D62" s="2">
        <v>18450195.094435826</v>
      </c>
      <c r="E62" s="2">
        <v>179498.85677104912</v>
      </c>
      <c r="F62" s="2">
        <v>763161.80697183055</v>
      </c>
      <c r="G62" s="2">
        <v>181961.9333456514</v>
      </c>
      <c r="H62" s="2">
        <v>540307.82773907168</v>
      </c>
      <c r="I62" s="9">
        <v>126632.68827018033</v>
      </c>
      <c r="J62" s="2">
        <v>194230.34018229326</v>
      </c>
    </row>
    <row r="63" spans="1:10" x14ac:dyDescent="0.25">
      <c r="A63" s="1" t="s">
        <v>44</v>
      </c>
      <c r="C63" s="1">
        <v>5.3</v>
      </c>
      <c r="D63" s="1">
        <v>7.2666666666666666</v>
      </c>
      <c r="E63" s="1">
        <v>3.8666666666666667</v>
      </c>
      <c r="F63" s="1">
        <v>3.8333333333333335</v>
      </c>
      <c r="G63" s="1">
        <v>5.4</v>
      </c>
      <c r="H63" s="1">
        <v>3.9</v>
      </c>
      <c r="I63" s="1">
        <v>3.6</v>
      </c>
      <c r="J63" s="1">
        <v>2.8333333333333335</v>
      </c>
    </row>
    <row r="64" spans="1:10" x14ac:dyDescent="0.25">
      <c r="A64" s="3" t="s">
        <v>45</v>
      </c>
    </row>
    <row r="65" spans="1:1" x14ac:dyDescent="0.25">
      <c r="A65" s="1" t="s">
        <v>46</v>
      </c>
    </row>
    <row r="66" spans="1:1" x14ac:dyDescent="0.25">
      <c r="A66" s="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opLeftCell="A4" zoomScaleNormal="100" workbookViewId="0">
      <selection activeCell="D20" sqref="D20"/>
    </sheetView>
  </sheetViews>
  <sheetFormatPr defaultRowHeight="13.8" x14ac:dyDescent="0.25"/>
  <cols>
    <col min="1" max="2" width="8.88671875" style="1"/>
    <col min="3" max="3" width="10" style="1" bestFit="1" customWidth="1"/>
    <col min="4" max="4" width="11.88671875" style="1" customWidth="1"/>
    <col min="5" max="5" width="10" style="1" bestFit="1" customWidth="1"/>
    <col min="6" max="6" width="9.77734375" style="1" customWidth="1"/>
    <col min="7" max="7" width="13.44140625" style="1" customWidth="1"/>
    <col min="8" max="8" width="10" style="1" bestFit="1" customWidth="1"/>
    <col min="9" max="9" width="9.44140625" style="1" customWidth="1"/>
    <col min="10" max="10" width="10" style="1" bestFit="1" customWidth="1"/>
    <col min="1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 t="s">
        <v>11</v>
      </c>
      <c r="B3" s="1" t="s">
        <v>12</v>
      </c>
      <c r="C3" s="2">
        <v>26549458.881189693</v>
      </c>
      <c r="D3" s="2">
        <v>10493520.323142989</v>
      </c>
      <c r="E3" s="2">
        <v>525749.16704593215</v>
      </c>
      <c r="F3" s="2">
        <v>1643203.6860460835</v>
      </c>
      <c r="G3" s="2">
        <v>504885.10162016511</v>
      </c>
      <c r="H3" s="2">
        <v>2118907.4715971183</v>
      </c>
      <c r="I3" s="2">
        <v>341814.7615606786</v>
      </c>
      <c r="J3" s="2">
        <v>499751.61192837078</v>
      </c>
    </row>
    <row r="4" spans="1:10" x14ac:dyDescent="0.25">
      <c r="B4" s="1" t="s">
        <v>13</v>
      </c>
      <c r="C4" s="2">
        <v>39184381.601076968</v>
      </c>
      <c r="D4" s="2">
        <v>10009249.897240918</v>
      </c>
      <c r="E4" s="2">
        <v>403093.93852676684</v>
      </c>
      <c r="F4" s="2">
        <v>1275516.3124454718</v>
      </c>
      <c r="G4" s="2">
        <v>431626.85980483436</v>
      </c>
      <c r="H4" s="2">
        <v>1640648.9079451177</v>
      </c>
      <c r="I4" s="2">
        <v>246258.17490193096</v>
      </c>
      <c r="J4" s="2">
        <v>479166.83639359713</v>
      </c>
    </row>
    <row r="5" spans="1:10" x14ac:dyDescent="0.25">
      <c r="B5" s="1" t="s">
        <v>14</v>
      </c>
      <c r="C5" s="1">
        <f>RANK(C3,3:3,1)</f>
        <v>8</v>
      </c>
      <c r="D5" s="1">
        <f t="shared" ref="D5:J5" si="0">RANK(D3,3:3,1)</f>
        <v>7</v>
      </c>
      <c r="E5" s="1">
        <f t="shared" si="0"/>
        <v>4</v>
      </c>
      <c r="F5" s="1">
        <f t="shared" si="0"/>
        <v>5</v>
      </c>
      <c r="G5" s="1">
        <f t="shared" si="0"/>
        <v>3</v>
      </c>
      <c r="H5" s="1">
        <f t="shared" si="0"/>
        <v>6</v>
      </c>
      <c r="I5" s="1">
        <f t="shared" si="0"/>
        <v>1</v>
      </c>
      <c r="J5" s="1">
        <f t="shared" si="0"/>
        <v>2</v>
      </c>
    </row>
    <row r="6" spans="1:10" x14ac:dyDescent="0.25">
      <c r="A6" s="1" t="s">
        <v>15</v>
      </c>
      <c r="B6" s="1" t="s">
        <v>12</v>
      </c>
      <c r="C6" s="2">
        <v>1.0975866251825262E+26</v>
      </c>
      <c r="D6" s="2">
        <v>4.268886872479839E+25</v>
      </c>
      <c r="E6" s="2">
        <v>5.1082230934036449E+18</v>
      </c>
      <c r="F6" s="2">
        <v>4.8296737900044295E+23</v>
      </c>
      <c r="G6" s="2">
        <v>1.0117115316293923E+19</v>
      </c>
      <c r="H6" s="2">
        <v>1.3046581501963236E+24</v>
      </c>
      <c r="I6" s="2">
        <v>5.856783602344702E+18</v>
      </c>
      <c r="J6" s="2">
        <v>1.1410248912280353E+19</v>
      </c>
    </row>
    <row r="7" spans="1:10" x14ac:dyDescent="0.25">
      <c r="B7" s="1" t="s">
        <v>13</v>
      </c>
      <c r="C7" s="2">
        <v>5.860496640668139E+26</v>
      </c>
      <c r="D7" s="2">
        <v>2.1891619948353874E+26</v>
      </c>
      <c r="E7" s="2">
        <v>1.2214059832999504E+19</v>
      </c>
      <c r="F7" s="2">
        <v>1.9895050160526917E+24</v>
      </c>
      <c r="G7" s="2">
        <v>2.8012613749062447E+19</v>
      </c>
      <c r="H7" s="2">
        <v>5.4628558188021475E+24</v>
      </c>
      <c r="I7" s="2">
        <v>1.2796267436051069E+19</v>
      </c>
      <c r="J7" s="2">
        <v>2.715247485868909E+19</v>
      </c>
    </row>
    <row r="8" spans="1:10" x14ac:dyDescent="0.25">
      <c r="B8" s="1" t="s">
        <v>14</v>
      </c>
      <c r="C8" s="1">
        <f>RANK(C6,6:6,1)</f>
        <v>8</v>
      </c>
      <c r="D8" s="1">
        <f t="shared" ref="D8:J8" si="1">RANK(D6,6:6,1)</f>
        <v>7</v>
      </c>
      <c r="E8" s="1">
        <f t="shared" si="1"/>
        <v>1</v>
      </c>
      <c r="F8" s="1">
        <f t="shared" si="1"/>
        <v>5</v>
      </c>
      <c r="G8" s="1">
        <f t="shared" si="1"/>
        <v>3</v>
      </c>
      <c r="H8" s="1">
        <f t="shared" si="1"/>
        <v>6</v>
      </c>
      <c r="I8" s="1">
        <f t="shared" si="1"/>
        <v>2</v>
      </c>
      <c r="J8" s="1">
        <f t="shared" si="1"/>
        <v>4</v>
      </c>
    </row>
    <row r="9" spans="1:10" x14ac:dyDescent="0.25">
      <c r="A9" s="1" t="s">
        <v>16</v>
      </c>
      <c r="B9" s="1" t="s">
        <v>12</v>
      </c>
      <c r="C9" s="2">
        <v>71215.224318390014</v>
      </c>
      <c r="D9" s="2">
        <v>69664.125875310492</v>
      </c>
      <c r="E9" s="2">
        <v>68251.169915124177</v>
      </c>
      <c r="F9" s="2">
        <v>62228.87528292658</v>
      </c>
      <c r="G9" s="2">
        <v>64201.946517962737</v>
      </c>
      <c r="H9" s="2">
        <v>62135.473881309415</v>
      </c>
      <c r="I9" s="2">
        <v>60040.474939034793</v>
      </c>
      <c r="J9" s="2">
        <v>60468.467684912874</v>
      </c>
    </row>
    <row r="10" spans="1:10" x14ac:dyDescent="0.25">
      <c r="B10" s="1" t="s">
        <v>13</v>
      </c>
      <c r="C10" s="2">
        <v>9966.1318001163982</v>
      </c>
      <c r="D10" s="2">
        <v>10524.629845760061</v>
      </c>
      <c r="E10" s="2">
        <v>9180.0749646760196</v>
      </c>
      <c r="F10" s="2">
        <v>8725.5855621338305</v>
      </c>
      <c r="G10" s="2">
        <v>9802.6657638443812</v>
      </c>
      <c r="H10" s="2">
        <v>7284.3571890040002</v>
      </c>
      <c r="I10" s="2">
        <v>7566.3213699708922</v>
      </c>
      <c r="J10" s="2">
        <v>8664.8366803480003</v>
      </c>
    </row>
    <row r="11" spans="1:10" x14ac:dyDescent="0.25">
      <c r="B11" s="1" t="s">
        <v>14</v>
      </c>
      <c r="C11" s="1">
        <f>RANK(C9,9:9,1)</f>
        <v>8</v>
      </c>
      <c r="D11" s="1">
        <f t="shared" ref="D11:J11" si="2">RANK(D9,9:9,1)</f>
        <v>7</v>
      </c>
      <c r="E11" s="1">
        <f t="shared" si="2"/>
        <v>6</v>
      </c>
      <c r="F11" s="1">
        <f t="shared" si="2"/>
        <v>4</v>
      </c>
      <c r="G11" s="1">
        <f t="shared" si="2"/>
        <v>5</v>
      </c>
      <c r="H11" s="1">
        <f t="shared" si="2"/>
        <v>3</v>
      </c>
      <c r="I11" s="1">
        <f t="shared" si="2"/>
        <v>1</v>
      </c>
      <c r="J11" s="1">
        <f t="shared" si="2"/>
        <v>2</v>
      </c>
    </row>
    <row r="12" spans="1:10" x14ac:dyDescent="0.25">
      <c r="A12" s="1" t="s">
        <v>17</v>
      </c>
      <c r="B12" s="1" t="s">
        <v>12</v>
      </c>
      <c r="C12" s="2">
        <v>582.30587220709492</v>
      </c>
      <c r="D12" s="2">
        <v>583.88335377334192</v>
      </c>
      <c r="E12" s="2">
        <v>495.74834439247189</v>
      </c>
      <c r="F12" s="2">
        <v>553.67987465901126</v>
      </c>
      <c r="G12" s="2">
        <v>504.75828926730816</v>
      </c>
      <c r="H12" s="2">
        <v>544.13584532499988</v>
      </c>
      <c r="I12" s="2">
        <v>501.53685095177661</v>
      </c>
      <c r="J12" s="2">
        <v>496.50376634112229</v>
      </c>
    </row>
    <row r="13" spans="1:10" x14ac:dyDescent="0.25">
      <c r="B13" s="1" t="s">
        <v>13</v>
      </c>
      <c r="C13" s="2">
        <v>54.138379898305622</v>
      </c>
      <c r="D13" s="2">
        <v>52.112620865060073</v>
      </c>
      <c r="E13" s="2">
        <v>25.431690876284684</v>
      </c>
      <c r="F13" s="2">
        <v>29.805236741761675</v>
      </c>
      <c r="G13" s="2">
        <v>23.52213107176739</v>
      </c>
      <c r="H13" s="2">
        <v>40.253929699072771</v>
      </c>
      <c r="I13" s="2">
        <v>19.26702124508903</v>
      </c>
      <c r="J13" s="2">
        <v>18.482570691776754</v>
      </c>
    </row>
    <row r="14" spans="1:10" x14ac:dyDescent="0.25">
      <c r="B14" s="1" t="s">
        <v>14</v>
      </c>
      <c r="C14" s="1">
        <f>RANK(C12,12:12,1)</f>
        <v>7</v>
      </c>
      <c r="D14" s="1">
        <f t="shared" ref="D14:J14" si="3">RANK(D12,12:12,1)</f>
        <v>8</v>
      </c>
      <c r="E14" s="1">
        <f t="shared" si="3"/>
        <v>1</v>
      </c>
      <c r="F14" s="1">
        <f t="shared" si="3"/>
        <v>6</v>
      </c>
      <c r="G14" s="1">
        <f t="shared" si="3"/>
        <v>4</v>
      </c>
      <c r="H14" s="1">
        <f t="shared" si="3"/>
        <v>5</v>
      </c>
      <c r="I14" s="1">
        <f t="shared" si="3"/>
        <v>3</v>
      </c>
      <c r="J14" s="1">
        <f t="shared" si="3"/>
        <v>2</v>
      </c>
    </row>
    <row r="15" spans="1:10" x14ac:dyDescent="0.25">
      <c r="A15" s="1" t="s">
        <v>18</v>
      </c>
      <c r="B15" s="1" t="s">
        <v>12</v>
      </c>
      <c r="C15" s="2">
        <v>616.34095177502456</v>
      </c>
      <c r="D15" s="2">
        <v>609.16889429180458</v>
      </c>
      <c r="E15" s="2">
        <v>570.09702064870442</v>
      </c>
      <c r="F15" s="2">
        <v>569.82186640211182</v>
      </c>
      <c r="G15" s="2">
        <v>568.50903812800755</v>
      </c>
      <c r="H15" s="2">
        <v>574.23729463701022</v>
      </c>
      <c r="I15" s="2">
        <v>558.86291370203139</v>
      </c>
      <c r="J15" s="2">
        <v>562.47737544303641</v>
      </c>
    </row>
    <row r="16" spans="1:10" x14ac:dyDescent="0.25">
      <c r="B16" s="1" t="s">
        <v>13</v>
      </c>
      <c r="C16" s="2">
        <v>30.023176434353545</v>
      </c>
      <c r="D16" s="2">
        <v>23.951571438820672</v>
      </c>
      <c r="E16" s="2">
        <v>16.417601512516367</v>
      </c>
      <c r="F16" s="2">
        <v>15.876284613865327</v>
      </c>
      <c r="G16" s="2">
        <v>16.644929562419065</v>
      </c>
      <c r="H16" s="2">
        <v>12.432242842035215</v>
      </c>
      <c r="I16" s="2">
        <v>16.222768249723128</v>
      </c>
      <c r="J16" s="2">
        <v>20.37169176390519</v>
      </c>
    </row>
    <row r="17" spans="1:10" x14ac:dyDescent="0.25">
      <c r="B17" s="1" t="s">
        <v>14</v>
      </c>
      <c r="C17" s="1">
        <f>RANK(C15,15:15,1)</f>
        <v>8</v>
      </c>
      <c r="D17" s="1">
        <f t="shared" ref="D17:J17" si="4">RANK(D15,15:15,1)</f>
        <v>7</v>
      </c>
      <c r="E17" s="1">
        <f t="shared" si="4"/>
        <v>5</v>
      </c>
      <c r="F17" s="1">
        <f t="shared" si="4"/>
        <v>4</v>
      </c>
      <c r="G17" s="1">
        <f t="shared" si="4"/>
        <v>3</v>
      </c>
      <c r="H17" s="1">
        <f t="shared" si="4"/>
        <v>6</v>
      </c>
      <c r="I17" s="1">
        <f t="shared" si="4"/>
        <v>1</v>
      </c>
      <c r="J17" s="1">
        <f t="shared" si="4"/>
        <v>2</v>
      </c>
    </row>
    <row r="18" spans="1:10" x14ac:dyDescent="0.25">
      <c r="A18" s="1" t="s">
        <v>19</v>
      </c>
      <c r="B18" s="1" t="s">
        <v>12</v>
      </c>
      <c r="C18" s="2">
        <v>622.76080751625204</v>
      </c>
      <c r="D18" s="2">
        <v>620.18873084249458</v>
      </c>
      <c r="E18" s="2">
        <v>600.99769049787471</v>
      </c>
      <c r="F18" s="2">
        <v>610.55828228434279</v>
      </c>
      <c r="G18" s="2">
        <v>601.24355212856119</v>
      </c>
      <c r="H18" s="2">
        <v>609.43425213154717</v>
      </c>
      <c r="I18" s="2">
        <v>601.04273899090981</v>
      </c>
      <c r="J18" s="2">
        <v>601.27005248384796</v>
      </c>
    </row>
    <row r="19" spans="1:10" x14ac:dyDescent="0.25">
      <c r="B19" s="1" t="s">
        <v>13</v>
      </c>
      <c r="C19" s="2">
        <v>6.2261908588371142</v>
      </c>
      <c r="D19" s="2">
        <v>8.3850692869134615</v>
      </c>
      <c r="E19" s="2">
        <v>0.59604843578514999</v>
      </c>
      <c r="F19" s="2">
        <v>5.1331595996461745</v>
      </c>
      <c r="G19" s="2">
        <v>0.75718396015065925</v>
      </c>
      <c r="H19" s="2">
        <v>4.9841109607941148</v>
      </c>
      <c r="I19" s="2">
        <v>0.7647255894133731</v>
      </c>
      <c r="J19" s="2">
        <v>0.79688430916367292</v>
      </c>
    </row>
    <row r="20" spans="1:10" x14ac:dyDescent="0.25">
      <c r="B20" s="1" t="s">
        <v>14</v>
      </c>
      <c r="C20" s="1">
        <f>RANK(C18,18:18,1)</f>
        <v>8</v>
      </c>
      <c r="D20" s="1">
        <f t="shared" ref="D20:J20" si="5">RANK(D18,18:18,1)</f>
        <v>7</v>
      </c>
      <c r="E20" s="1">
        <f t="shared" si="5"/>
        <v>1</v>
      </c>
      <c r="F20" s="1">
        <f t="shared" si="5"/>
        <v>6</v>
      </c>
      <c r="G20" s="1">
        <f t="shared" si="5"/>
        <v>3</v>
      </c>
      <c r="H20" s="1">
        <f t="shared" si="5"/>
        <v>5</v>
      </c>
      <c r="I20" s="1">
        <f t="shared" si="5"/>
        <v>2</v>
      </c>
      <c r="J20" s="1">
        <f t="shared" si="5"/>
        <v>4</v>
      </c>
    </row>
    <row r="21" spans="1:10" x14ac:dyDescent="0.25">
      <c r="A21" s="1" t="s">
        <v>20</v>
      </c>
      <c r="B21" s="1" t="s">
        <v>12</v>
      </c>
      <c r="C21" s="2">
        <v>995.78007031546542</v>
      </c>
      <c r="D21" s="2">
        <v>907.998022196021</v>
      </c>
      <c r="E21" s="2">
        <v>899.93946619935116</v>
      </c>
      <c r="F21" s="2">
        <v>881.14379170120822</v>
      </c>
      <c r="G21" s="2">
        <v>876.68822114585953</v>
      </c>
      <c r="H21" s="2">
        <v>886.36435723669069</v>
      </c>
      <c r="I21" s="2">
        <v>877.21210228565849</v>
      </c>
      <c r="J21" s="2">
        <v>899.35786160450004</v>
      </c>
    </row>
    <row r="22" spans="1:10" x14ac:dyDescent="0.25">
      <c r="B22" s="1" t="s">
        <v>13</v>
      </c>
      <c r="C22" s="2">
        <v>58.504381548863812</v>
      </c>
      <c r="D22" s="2">
        <v>30.714487906131836</v>
      </c>
      <c r="E22" s="2">
        <v>44.533354374955344</v>
      </c>
      <c r="F22" s="2">
        <v>39.665874220172725</v>
      </c>
      <c r="G22" s="2">
        <v>45.122249787551212</v>
      </c>
      <c r="H22" s="2">
        <v>46.385253841488208</v>
      </c>
      <c r="I22" s="2">
        <v>37.560432650427366</v>
      </c>
      <c r="J22" s="2">
        <v>41.444130265998197</v>
      </c>
    </row>
    <row r="23" spans="1:10" x14ac:dyDescent="0.25">
      <c r="B23" s="1" t="s">
        <v>14</v>
      </c>
      <c r="C23" s="1">
        <f>RANK(C21,21:21,1)</f>
        <v>8</v>
      </c>
      <c r="D23" s="1">
        <f t="shared" ref="D23:J23" si="6">RANK(D21,21:21,1)</f>
        <v>7</v>
      </c>
      <c r="E23" s="1">
        <f t="shared" si="6"/>
        <v>6</v>
      </c>
      <c r="F23" s="1">
        <f t="shared" si="6"/>
        <v>3</v>
      </c>
      <c r="G23" s="1">
        <f t="shared" si="6"/>
        <v>1</v>
      </c>
      <c r="H23" s="1">
        <f t="shared" si="6"/>
        <v>4</v>
      </c>
      <c r="I23" s="1">
        <f t="shared" si="6"/>
        <v>2</v>
      </c>
      <c r="J23" s="1">
        <f t="shared" si="6"/>
        <v>5</v>
      </c>
    </row>
    <row r="24" spans="1:10" x14ac:dyDescent="0.25">
      <c r="A24" s="1" t="s">
        <v>21</v>
      </c>
      <c r="B24" s="1" t="s">
        <v>12</v>
      </c>
      <c r="C24" s="2">
        <v>911.6415694513895</v>
      </c>
      <c r="D24" s="2">
        <v>886.63730078354638</v>
      </c>
      <c r="E24" s="2">
        <v>863.24514068007534</v>
      </c>
      <c r="F24" s="2">
        <v>864.4090717260973</v>
      </c>
      <c r="G24" s="2">
        <v>859.57632215170474</v>
      </c>
      <c r="H24" s="2">
        <v>864.02729381358597</v>
      </c>
      <c r="I24" s="2">
        <v>851.66912052071882</v>
      </c>
      <c r="J24" s="2">
        <v>850.1217076685773</v>
      </c>
    </row>
    <row r="25" spans="1:10" x14ac:dyDescent="0.25">
      <c r="B25" s="1" t="s">
        <v>13</v>
      </c>
      <c r="C25" s="2">
        <v>25.828200128788239</v>
      </c>
      <c r="D25" s="2">
        <v>14.465449627175888</v>
      </c>
      <c r="E25" s="2">
        <v>11.681163205491591</v>
      </c>
      <c r="F25" s="2">
        <v>12.919401126963507</v>
      </c>
      <c r="G25" s="2">
        <v>15.745946217848005</v>
      </c>
      <c r="H25" s="2">
        <v>10.169543983756807</v>
      </c>
      <c r="I25" s="2">
        <v>16.008523776599386</v>
      </c>
      <c r="J25" s="2">
        <v>11.347362828633999</v>
      </c>
    </row>
    <row r="26" spans="1:10" x14ac:dyDescent="0.25">
      <c r="B26" s="1" t="s">
        <v>14</v>
      </c>
      <c r="C26" s="1">
        <f>RANK(C24,24:24,1)</f>
        <v>8</v>
      </c>
      <c r="D26" s="1">
        <f t="shared" ref="D26:J26" si="7">RANK(D24,24:24,1)</f>
        <v>7</v>
      </c>
      <c r="E26" s="1">
        <f t="shared" si="7"/>
        <v>4</v>
      </c>
      <c r="F26" s="1">
        <f t="shared" si="7"/>
        <v>6</v>
      </c>
      <c r="G26" s="1">
        <f t="shared" si="7"/>
        <v>3</v>
      </c>
      <c r="H26" s="1">
        <f t="shared" si="7"/>
        <v>5</v>
      </c>
      <c r="I26" s="1">
        <f t="shared" si="7"/>
        <v>2</v>
      </c>
      <c r="J26" s="1">
        <f t="shared" si="7"/>
        <v>1</v>
      </c>
    </row>
    <row r="27" spans="1:10" x14ac:dyDescent="0.25">
      <c r="A27" s="1" t="s">
        <v>22</v>
      </c>
      <c r="B27" s="1" t="s">
        <v>12</v>
      </c>
      <c r="C27" s="2">
        <v>3822.9752004030597</v>
      </c>
      <c r="D27" s="2">
        <v>2830.8310745544013</v>
      </c>
      <c r="E27" s="2">
        <v>1195.9292041465771</v>
      </c>
      <c r="F27" s="2">
        <v>1605.9450437575529</v>
      </c>
      <c r="G27" s="2">
        <v>1138.2940148806849</v>
      </c>
      <c r="H27" s="2">
        <v>1487.1832910707858</v>
      </c>
      <c r="I27" s="2">
        <v>1037.2006668435181</v>
      </c>
      <c r="J27" s="2">
        <v>1051.878301948934</v>
      </c>
    </row>
    <row r="28" spans="1:10" x14ac:dyDescent="0.25">
      <c r="B28" s="1" t="s">
        <v>13</v>
      </c>
      <c r="C28" s="2">
        <v>1618.4232494960513</v>
      </c>
      <c r="D28" s="2">
        <v>994.26060098911682</v>
      </c>
      <c r="E28" s="2">
        <v>318.91011125559771</v>
      </c>
      <c r="F28" s="2">
        <v>553.70642263648642</v>
      </c>
      <c r="G28" s="2">
        <v>257.673476038633</v>
      </c>
      <c r="H28" s="2">
        <v>314.03077549252055</v>
      </c>
      <c r="I28" s="2">
        <v>131.93279061089527</v>
      </c>
      <c r="J28" s="2">
        <v>170.59932973864426</v>
      </c>
    </row>
    <row r="29" spans="1:10" x14ac:dyDescent="0.25">
      <c r="B29" s="1" t="s">
        <v>14</v>
      </c>
      <c r="C29" s="1">
        <f>RANK(C27,27:27,1)</f>
        <v>8</v>
      </c>
      <c r="D29" s="1">
        <f t="shared" ref="D29:J29" si="8">RANK(D27,27:27,1)</f>
        <v>7</v>
      </c>
      <c r="E29" s="1">
        <f t="shared" si="8"/>
        <v>4</v>
      </c>
      <c r="F29" s="1">
        <f t="shared" si="8"/>
        <v>6</v>
      </c>
      <c r="G29" s="1">
        <f t="shared" si="8"/>
        <v>3</v>
      </c>
      <c r="H29" s="1">
        <f t="shared" si="8"/>
        <v>5</v>
      </c>
      <c r="I29" s="1">
        <f t="shared" si="8"/>
        <v>1</v>
      </c>
      <c r="J29" s="1">
        <f t="shared" si="8"/>
        <v>2</v>
      </c>
    </row>
    <row r="30" spans="1:10" x14ac:dyDescent="0.25">
      <c r="A30" s="1" t="s">
        <v>23</v>
      </c>
      <c r="B30" s="1" t="s">
        <v>12</v>
      </c>
      <c r="C30" s="2">
        <v>4786.5615601033542</v>
      </c>
      <c r="D30" s="2">
        <v>4197.4914892949009</v>
      </c>
      <c r="E30" s="2">
        <v>7574.9120775394786</v>
      </c>
      <c r="F30" s="2">
        <v>8060.4826196290296</v>
      </c>
      <c r="G30" s="2">
        <v>7316.9655384153002</v>
      </c>
      <c r="H30" s="2">
        <v>7981.8625861521723</v>
      </c>
      <c r="I30" s="2">
        <v>8264.8127304825466</v>
      </c>
      <c r="J30" s="2">
        <v>8141.1776879810723</v>
      </c>
    </row>
    <row r="31" spans="1:10" x14ac:dyDescent="0.25">
      <c r="B31" s="1" t="s">
        <v>13</v>
      </c>
      <c r="C31" s="2">
        <v>1420.8521217177156</v>
      </c>
      <c r="D31" s="2">
        <v>854.14204472166955</v>
      </c>
      <c r="E31" s="2">
        <v>950.3253175530773</v>
      </c>
      <c r="F31" s="2">
        <v>706.59885920148565</v>
      </c>
      <c r="G31" s="2">
        <v>1357.9514722744991</v>
      </c>
      <c r="H31" s="2">
        <v>1125.5818027811902</v>
      </c>
      <c r="I31" s="2">
        <v>447.75151729228003</v>
      </c>
      <c r="J31" s="2">
        <v>590.28691418594224</v>
      </c>
    </row>
    <row r="32" spans="1:10" x14ac:dyDescent="0.25">
      <c r="B32" s="1" t="s">
        <v>14</v>
      </c>
      <c r="C32" s="1">
        <f>RANK(C30,30:30,1)</f>
        <v>2</v>
      </c>
      <c r="D32" s="1">
        <f t="shared" ref="D32:J32" si="9">RANK(D30,30:30,1)</f>
        <v>1</v>
      </c>
      <c r="E32" s="1">
        <f t="shared" si="9"/>
        <v>4</v>
      </c>
      <c r="F32" s="1">
        <f t="shared" si="9"/>
        <v>6</v>
      </c>
      <c r="G32" s="1">
        <f t="shared" si="9"/>
        <v>3</v>
      </c>
      <c r="H32" s="1">
        <f t="shared" si="9"/>
        <v>5</v>
      </c>
      <c r="I32" s="1">
        <f t="shared" si="9"/>
        <v>8</v>
      </c>
      <c r="J32" s="1">
        <f t="shared" si="9"/>
        <v>7</v>
      </c>
    </row>
    <row r="33" spans="1:10" x14ac:dyDescent="0.25">
      <c r="A33" s="1" t="s">
        <v>24</v>
      </c>
      <c r="B33" s="1" t="s">
        <v>12</v>
      </c>
      <c r="C33" s="2">
        <v>1489.6620876133543</v>
      </c>
      <c r="D33" s="2">
        <v>1392.4772783092408</v>
      </c>
      <c r="E33" s="2">
        <v>1248.8392301599135</v>
      </c>
      <c r="F33" s="2">
        <v>1339.5952134748093</v>
      </c>
      <c r="G33" s="2">
        <v>1279.658136530722</v>
      </c>
      <c r="H33" s="2">
        <v>1343.4621435224349</v>
      </c>
      <c r="I33" s="2">
        <v>1247.0569441672976</v>
      </c>
      <c r="J33" s="2">
        <v>1230.7308822163934</v>
      </c>
    </row>
    <row r="34" spans="1:10" x14ac:dyDescent="0.25">
      <c r="B34" s="1" t="s">
        <v>13</v>
      </c>
      <c r="C34" s="2">
        <v>155.28735626690266</v>
      </c>
      <c r="D34" s="2">
        <v>88.699482926179044</v>
      </c>
      <c r="E34" s="2">
        <v>45.38933817506242</v>
      </c>
      <c r="F34" s="2">
        <v>69.834003284019929</v>
      </c>
      <c r="G34" s="2">
        <v>53.053825557970129</v>
      </c>
      <c r="H34" s="2">
        <v>70.9792391029996</v>
      </c>
      <c r="I34" s="2">
        <v>42.950689755619813</v>
      </c>
      <c r="J34" s="2">
        <v>39.366945416610065</v>
      </c>
    </row>
    <row r="35" spans="1:10" x14ac:dyDescent="0.25">
      <c r="B35" s="1" t="s">
        <v>14</v>
      </c>
      <c r="C35" s="1">
        <f>RANK(C33,33:33,1)</f>
        <v>8</v>
      </c>
      <c r="D35" s="1">
        <f t="shared" ref="D35:J35" si="10">RANK(D33,33:33,1)</f>
        <v>7</v>
      </c>
      <c r="E35" s="1">
        <f t="shared" si="10"/>
        <v>3</v>
      </c>
      <c r="F35" s="1">
        <f t="shared" si="10"/>
        <v>5</v>
      </c>
      <c r="G35" s="1">
        <f t="shared" si="10"/>
        <v>4</v>
      </c>
      <c r="H35" s="1">
        <f t="shared" si="10"/>
        <v>6</v>
      </c>
      <c r="I35" s="1">
        <f t="shared" si="10"/>
        <v>2</v>
      </c>
      <c r="J35" s="1">
        <f t="shared" si="10"/>
        <v>1</v>
      </c>
    </row>
    <row r="36" spans="1:10" x14ac:dyDescent="0.25">
      <c r="A36" s="1" t="s">
        <v>25</v>
      </c>
      <c r="B36" s="1" t="s">
        <v>12</v>
      </c>
      <c r="C36" s="2">
        <v>3505664.9687788789</v>
      </c>
      <c r="D36" s="2">
        <v>4016659.4032713873</v>
      </c>
      <c r="E36" s="2">
        <v>1288372.3028944039</v>
      </c>
      <c r="F36" s="2">
        <v>2934220.1231901227</v>
      </c>
      <c r="G36" s="2">
        <v>1131238.051745259</v>
      </c>
      <c r="H36" s="2">
        <v>2494829.1039691656</v>
      </c>
      <c r="I36" s="2">
        <v>1093724.5861422613</v>
      </c>
      <c r="J36" s="2">
        <v>1203634.7012566547</v>
      </c>
    </row>
    <row r="37" spans="1:10" x14ac:dyDescent="0.25">
      <c r="B37" s="1" t="s">
        <v>13</v>
      </c>
      <c r="C37" s="2">
        <v>4264505.7540558707</v>
      </c>
      <c r="D37" s="2">
        <v>4692186.8347633639</v>
      </c>
      <c r="E37" s="2">
        <v>1052580.0091030675</v>
      </c>
      <c r="F37" s="2">
        <v>3154280.6284593395</v>
      </c>
      <c r="G37" s="2">
        <v>967066.53801846725</v>
      </c>
      <c r="H37" s="2">
        <v>2037690.9572619505</v>
      </c>
      <c r="I37" s="2">
        <v>761207.20537370967</v>
      </c>
      <c r="J37" s="2">
        <v>671546.06046009168</v>
      </c>
    </row>
    <row r="38" spans="1:10" x14ac:dyDescent="0.25">
      <c r="B38" s="1" t="s">
        <v>14</v>
      </c>
      <c r="C38" s="1">
        <f>RANK(C36,36:36,1)</f>
        <v>7</v>
      </c>
      <c r="D38" s="1">
        <f t="shared" ref="D38:J38" si="11">RANK(D36,36:36,1)</f>
        <v>8</v>
      </c>
      <c r="E38" s="1">
        <f t="shared" si="11"/>
        <v>4</v>
      </c>
      <c r="F38" s="1">
        <f t="shared" si="11"/>
        <v>6</v>
      </c>
      <c r="G38" s="1">
        <f t="shared" si="11"/>
        <v>2</v>
      </c>
      <c r="H38" s="1">
        <f t="shared" si="11"/>
        <v>5</v>
      </c>
      <c r="I38" s="1">
        <f t="shared" si="11"/>
        <v>1</v>
      </c>
      <c r="J38" s="1">
        <f t="shared" si="11"/>
        <v>3</v>
      </c>
    </row>
    <row r="39" spans="1:10" x14ac:dyDescent="0.25">
      <c r="A39" s="1" t="s">
        <v>26</v>
      </c>
      <c r="B39" s="1" t="s">
        <v>12</v>
      </c>
      <c r="C39" s="2">
        <v>27785.77532387212</v>
      </c>
      <c r="D39" s="2">
        <v>49853.221716290289</v>
      </c>
      <c r="E39" s="2">
        <v>21137.889127574323</v>
      </c>
      <c r="F39" s="2">
        <v>37153.700463947585</v>
      </c>
      <c r="G39" s="2">
        <v>21425.83557895177</v>
      </c>
      <c r="H39" s="2">
        <v>33441.028712969703</v>
      </c>
      <c r="I39" s="2">
        <v>17202.902950216085</v>
      </c>
      <c r="J39" s="2">
        <v>21487.812254452496</v>
      </c>
    </row>
    <row r="40" spans="1:10" x14ac:dyDescent="0.25">
      <c r="B40" s="1" t="s">
        <v>13</v>
      </c>
      <c r="C40" s="2">
        <v>15579.412333475337</v>
      </c>
      <c r="D40" s="2">
        <v>25127.323243984058</v>
      </c>
      <c r="E40" s="2">
        <v>15509.040586144209</v>
      </c>
      <c r="F40" s="2">
        <v>24933.544301919355</v>
      </c>
      <c r="G40" s="2">
        <v>16087.679426450537</v>
      </c>
      <c r="H40" s="2">
        <v>20500.790713204206</v>
      </c>
      <c r="I40" s="2">
        <v>14280.436059287706</v>
      </c>
      <c r="J40" s="2">
        <v>15988.305420031254</v>
      </c>
    </row>
    <row r="41" spans="1:10" x14ac:dyDescent="0.25">
      <c r="B41" s="1" t="s">
        <v>14</v>
      </c>
      <c r="C41" s="1">
        <f>RANK(C39,39:39,1)</f>
        <v>5</v>
      </c>
      <c r="D41" s="1">
        <f t="shared" ref="D41:J41" si="12">RANK(D39,39:39,1)</f>
        <v>8</v>
      </c>
      <c r="E41" s="1">
        <f t="shared" si="12"/>
        <v>2</v>
      </c>
      <c r="F41" s="1">
        <f t="shared" si="12"/>
        <v>7</v>
      </c>
      <c r="G41" s="1">
        <f t="shared" si="12"/>
        <v>3</v>
      </c>
      <c r="H41" s="1">
        <f t="shared" si="12"/>
        <v>6</v>
      </c>
      <c r="I41" s="1">
        <f t="shared" si="12"/>
        <v>1</v>
      </c>
      <c r="J41" s="1">
        <f t="shared" si="12"/>
        <v>4</v>
      </c>
    </row>
    <row r="42" spans="1:10" x14ac:dyDescent="0.25">
      <c r="A42" s="1" t="s">
        <v>27</v>
      </c>
      <c r="B42" s="1" t="s">
        <v>12</v>
      </c>
      <c r="C42" s="2">
        <v>83600.898554912026</v>
      </c>
      <c r="D42" s="2">
        <v>73846.268270019442</v>
      </c>
      <c r="E42" s="2">
        <v>51600.449823763694</v>
      </c>
      <c r="F42" s="2">
        <v>43670.656862013522</v>
      </c>
      <c r="G42" s="2">
        <v>41642.337209641912</v>
      </c>
      <c r="H42" s="2">
        <v>60346.75290378194</v>
      </c>
      <c r="I42" s="2">
        <v>37854.09838515029</v>
      </c>
      <c r="J42" s="2">
        <v>34733.439442835901</v>
      </c>
    </row>
    <row r="43" spans="1:10" x14ac:dyDescent="0.25">
      <c r="B43" s="1" t="s">
        <v>13</v>
      </c>
      <c r="C43" s="2">
        <v>140945.20266717018</v>
      </c>
      <c r="D43" s="2">
        <v>70211.178812131242</v>
      </c>
      <c r="E43" s="2">
        <v>49791.510345774201</v>
      </c>
      <c r="F43" s="2">
        <v>55153.581053173315</v>
      </c>
      <c r="G43" s="2">
        <v>37905.657929107292</v>
      </c>
      <c r="H43" s="2">
        <v>67087.341441962126</v>
      </c>
      <c r="I43" s="2">
        <v>36110.414059371484</v>
      </c>
      <c r="J43" s="2">
        <v>34300.047331920781</v>
      </c>
    </row>
    <row r="44" spans="1:10" x14ac:dyDescent="0.25">
      <c r="B44" s="1" t="s">
        <v>14</v>
      </c>
      <c r="C44" s="1">
        <f>RANK(C42,42:42,1)</f>
        <v>8</v>
      </c>
      <c r="D44" s="1">
        <f t="shared" ref="D44:J44" si="13">RANK(D42,42:42,1)</f>
        <v>7</v>
      </c>
      <c r="E44" s="1">
        <f t="shared" si="13"/>
        <v>5</v>
      </c>
      <c r="F44" s="1">
        <f t="shared" si="13"/>
        <v>4</v>
      </c>
      <c r="G44" s="1">
        <f t="shared" si="13"/>
        <v>3</v>
      </c>
      <c r="H44" s="1">
        <f t="shared" si="13"/>
        <v>6</v>
      </c>
      <c r="I44" s="1">
        <f t="shared" si="13"/>
        <v>2</v>
      </c>
      <c r="J44" s="1">
        <f t="shared" si="13"/>
        <v>1</v>
      </c>
    </row>
    <row r="45" spans="1:10" x14ac:dyDescent="0.25">
      <c r="A45" s="1" t="s">
        <v>28</v>
      </c>
      <c r="B45" s="1" t="s">
        <v>12</v>
      </c>
      <c r="C45" s="2">
        <v>13597.998280831342</v>
      </c>
      <c r="D45" s="2">
        <v>13396.207146929613</v>
      </c>
      <c r="E45" s="2">
        <v>14805.58952651011</v>
      </c>
      <c r="F45" s="2">
        <v>9891.9228989249968</v>
      </c>
      <c r="G45" s="2">
        <v>16866.865569378668</v>
      </c>
      <c r="H45" s="2">
        <v>9925.0027800394364</v>
      </c>
      <c r="I45" s="2">
        <v>14949.025257522935</v>
      </c>
      <c r="J45" s="2">
        <v>13829.19201016113</v>
      </c>
    </row>
    <row r="46" spans="1:10" x14ac:dyDescent="0.25">
      <c r="B46" s="1" t="s">
        <v>13</v>
      </c>
      <c r="C46" s="2">
        <v>10619.257141793219</v>
      </c>
      <c r="D46" s="2">
        <v>9809.051043820049</v>
      </c>
      <c r="E46" s="2">
        <v>11390.635464400326</v>
      </c>
      <c r="F46" s="2">
        <v>8196.8350779902539</v>
      </c>
      <c r="G46" s="2">
        <v>14518.537602192342</v>
      </c>
      <c r="H46" s="2">
        <v>7328.4485902979131</v>
      </c>
      <c r="I46" s="2">
        <v>12991.302330448916</v>
      </c>
      <c r="J46" s="2">
        <v>11211.929399064404</v>
      </c>
    </row>
    <row r="47" spans="1:10" x14ac:dyDescent="0.25">
      <c r="B47" s="1" t="s">
        <v>14</v>
      </c>
      <c r="C47" s="1">
        <f>RANK(C45,45:45,1)</f>
        <v>4</v>
      </c>
      <c r="D47" s="1">
        <f t="shared" ref="D47:J47" si="14">RANK(D45,45:45,1)</f>
        <v>3</v>
      </c>
      <c r="E47" s="1">
        <f t="shared" si="14"/>
        <v>6</v>
      </c>
      <c r="F47" s="1">
        <f t="shared" si="14"/>
        <v>1</v>
      </c>
      <c r="G47" s="1">
        <f t="shared" si="14"/>
        <v>8</v>
      </c>
      <c r="H47" s="1">
        <f t="shared" si="14"/>
        <v>2</v>
      </c>
      <c r="I47" s="1">
        <f t="shared" si="14"/>
        <v>7</v>
      </c>
      <c r="J47" s="1">
        <f t="shared" si="14"/>
        <v>5</v>
      </c>
    </row>
    <row r="48" spans="1:10" x14ac:dyDescent="0.25">
      <c r="A48" s="1" t="s">
        <v>29</v>
      </c>
      <c r="B48" s="1" t="s">
        <v>12</v>
      </c>
      <c r="C48" s="2">
        <v>2774.8953096946539</v>
      </c>
      <c r="D48" s="2">
        <v>2555.397403688457</v>
      </c>
      <c r="E48" s="2">
        <v>2609.6403258999562</v>
      </c>
      <c r="F48" s="2">
        <v>2539.0855048809804</v>
      </c>
      <c r="G48" s="2">
        <v>2494.2940689585212</v>
      </c>
      <c r="H48" s="2">
        <v>2547.0492909201653</v>
      </c>
      <c r="I48" s="2">
        <v>2509.3345352478523</v>
      </c>
      <c r="J48" s="2">
        <v>2622.5373562388213</v>
      </c>
    </row>
    <row r="49" spans="1:10" x14ac:dyDescent="0.25">
      <c r="B49" s="1" t="s">
        <v>13</v>
      </c>
      <c r="C49" s="2">
        <v>338.88634411540949</v>
      </c>
      <c r="D49" s="2">
        <v>192.16098528824881</v>
      </c>
      <c r="E49" s="2">
        <v>458.5663449058992</v>
      </c>
      <c r="F49" s="2">
        <v>256.56608202668821</v>
      </c>
      <c r="G49" s="2">
        <v>423.77868889018924</v>
      </c>
      <c r="H49" s="2">
        <v>208.70704178023078</v>
      </c>
      <c r="I49" s="2">
        <v>406.12458217248616</v>
      </c>
      <c r="J49" s="2">
        <v>421.90045792081918</v>
      </c>
    </row>
    <row r="50" spans="1:10" x14ac:dyDescent="0.25">
      <c r="B50" s="1" t="s">
        <v>14</v>
      </c>
      <c r="C50" s="1">
        <f>RANK(C48,48:48,1)</f>
        <v>8</v>
      </c>
      <c r="D50" s="1">
        <f t="shared" ref="D50:J50" si="15">RANK(D48,48:48,1)</f>
        <v>5</v>
      </c>
      <c r="E50" s="1">
        <f t="shared" si="15"/>
        <v>6</v>
      </c>
      <c r="F50" s="1">
        <f t="shared" si="15"/>
        <v>3</v>
      </c>
      <c r="G50" s="1">
        <f t="shared" si="15"/>
        <v>1</v>
      </c>
      <c r="H50" s="1">
        <f t="shared" si="15"/>
        <v>4</v>
      </c>
      <c r="I50" s="1">
        <f t="shared" si="15"/>
        <v>2</v>
      </c>
      <c r="J50" s="1">
        <f t="shared" si="15"/>
        <v>7</v>
      </c>
    </row>
    <row r="51" spans="1:10" x14ac:dyDescent="0.25">
      <c r="A51" s="1" t="s">
        <v>30</v>
      </c>
      <c r="B51" s="1" t="s">
        <v>12</v>
      </c>
      <c r="C51" s="2">
        <v>2314.2791155916038</v>
      </c>
      <c r="D51" s="2">
        <v>2246.6702524909024</v>
      </c>
      <c r="E51" s="2">
        <v>1987.4714802685871</v>
      </c>
      <c r="F51" s="2">
        <v>2147.3437896786759</v>
      </c>
      <c r="G51" s="2">
        <v>2013.0219963330144</v>
      </c>
      <c r="H51" s="2">
        <v>2176.0197594251295</v>
      </c>
      <c r="I51" s="2">
        <v>1977.3594034626287</v>
      </c>
      <c r="J51" s="2">
        <v>2012.2969723052813</v>
      </c>
    </row>
    <row r="52" spans="1:10" x14ac:dyDescent="0.25">
      <c r="B52" s="1" t="s">
        <v>13</v>
      </c>
      <c r="C52" s="2">
        <v>183.97078310470556</v>
      </c>
      <c r="D52" s="2">
        <v>214.21393669072361</v>
      </c>
      <c r="E52" s="2">
        <v>160.03420932743225</v>
      </c>
      <c r="F52" s="2">
        <v>168.4522626375454</v>
      </c>
      <c r="G52" s="2">
        <v>171.08198387887376</v>
      </c>
      <c r="H52" s="2">
        <v>165.80460156357773</v>
      </c>
      <c r="I52" s="2">
        <v>159.35244494467577</v>
      </c>
      <c r="J52" s="2">
        <v>141.3951545766673</v>
      </c>
    </row>
    <row r="53" spans="1:10" x14ac:dyDescent="0.25">
      <c r="B53" s="1" t="s">
        <v>14</v>
      </c>
      <c r="C53" s="1">
        <f>RANK(C51,51:51,1)</f>
        <v>8</v>
      </c>
      <c r="D53" s="1">
        <f t="shared" ref="D53:J53" si="16">RANK(D51,51:51,1)</f>
        <v>7</v>
      </c>
      <c r="E53" s="1">
        <f t="shared" si="16"/>
        <v>2</v>
      </c>
      <c r="F53" s="1">
        <f t="shared" si="16"/>
        <v>5</v>
      </c>
      <c r="G53" s="1">
        <f t="shared" si="16"/>
        <v>4</v>
      </c>
      <c r="H53" s="1">
        <f t="shared" si="16"/>
        <v>6</v>
      </c>
      <c r="I53" s="1">
        <f t="shared" si="16"/>
        <v>1</v>
      </c>
      <c r="J53" s="1">
        <f t="shared" si="16"/>
        <v>3</v>
      </c>
    </row>
    <row r="54" spans="1:10" x14ac:dyDescent="0.25">
      <c r="A54" s="1" t="s">
        <v>31</v>
      </c>
      <c r="B54" s="1" t="s">
        <v>12</v>
      </c>
      <c r="C54" s="2">
        <v>823725.69801274361</v>
      </c>
      <c r="D54" s="2">
        <v>792415.92683890392</v>
      </c>
      <c r="E54" s="2">
        <v>836969.72979409772</v>
      </c>
      <c r="F54" s="2">
        <v>1013167.0602936248</v>
      </c>
      <c r="G54" s="2">
        <v>925419.28033162327</v>
      </c>
      <c r="H54" s="2">
        <v>712123.79538801126</v>
      </c>
      <c r="I54" s="2">
        <v>1047130.4152034714</v>
      </c>
      <c r="J54" s="2">
        <v>1075527.9556105672</v>
      </c>
    </row>
    <row r="55" spans="1:10" x14ac:dyDescent="0.25">
      <c r="B55" s="1" t="s">
        <v>13</v>
      </c>
      <c r="C55" s="2">
        <v>921772.77600292559</v>
      </c>
      <c r="D55" s="2">
        <v>805924.8978706043</v>
      </c>
      <c r="E55" s="2">
        <v>551653.22590652131</v>
      </c>
      <c r="F55" s="2">
        <v>1150258.2255147398</v>
      </c>
      <c r="G55" s="2">
        <v>691015.5532816957</v>
      </c>
      <c r="H55" s="2">
        <v>654331.56014401093</v>
      </c>
      <c r="I55" s="2">
        <v>1264442.7356844724</v>
      </c>
      <c r="J55" s="2">
        <v>950706.72342055477</v>
      </c>
    </row>
    <row r="56" spans="1:10" x14ac:dyDescent="0.25">
      <c r="B56" s="1" t="s">
        <v>14</v>
      </c>
      <c r="C56" s="1">
        <f>RANK(C54,54:54,1)</f>
        <v>3</v>
      </c>
      <c r="D56" s="1">
        <f t="shared" ref="D56:J56" si="17">RANK(D54,54:54,1)</f>
        <v>2</v>
      </c>
      <c r="E56" s="1">
        <f t="shared" si="17"/>
        <v>4</v>
      </c>
      <c r="F56" s="1">
        <f t="shared" si="17"/>
        <v>6</v>
      </c>
      <c r="G56" s="1">
        <f t="shared" si="17"/>
        <v>5</v>
      </c>
      <c r="H56" s="1">
        <f t="shared" si="17"/>
        <v>1</v>
      </c>
      <c r="I56" s="1">
        <f t="shared" si="17"/>
        <v>7</v>
      </c>
      <c r="J56" s="1">
        <f t="shared" si="17"/>
        <v>8</v>
      </c>
    </row>
    <row r="57" spans="1:10" x14ac:dyDescent="0.25">
      <c r="A57" s="1" t="s">
        <v>32</v>
      </c>
      <c r="B57" s="1" t="s">
        <v>12</v>
      </c>
      <c r="C57" s="2">
        <v>15656.123113129201</v>
      </c>
      <c r="D57" s="2">
        <v>21375.51809871311</v>
      </c>
      <c r="E57" s="2">
        <v>9482.8852254604153</v>
      </c>
      <c r="F57" s="2">
        <v>13414.388030936732</v>
      </c>
      <c r="G57" s="2">
        <v>9989.9362199963543</v>
      </c>
      <c r="H57" s="2">
        <v>12204.605092978974</v>
      </c>
      <c r="I57" s="2">
        <v>11586.922043583776</v>
      </c>
      <c r="J57" s="2">
        <v>10222.713155717734</v>
      </c>
    </row>
    <row r="58" spans="1:10" x14ac:dyDescent="0.25">
      <c r="B58" s="1" t="s">
        <v>13</v>
      </c>
      <c r="C58" s="2">
        <v>24179.089756801768</v>
      </c>
      <c r="D58" s="2">
        <v>35138.191765333511</v>
      </c>
      <c r="E58" s="2">
        <v>10888.608855983271</v>
      </c>
      <c r="F58" s="2">
        <v>10954.435789993129</v>
      </c>
      <c r="G58" s="2">
        <v>8478.0210862245403</v>
      </c>
      <c r="H58" s="2">
        <v>25805.822939301292</v>
      </c>
      <c r="I58" s="2">
        <v>13916.025225471922</v>
      </c>
      <c r="J58" s="2">
        <v>11141.746127798926</v>
      </c>
    </row>
    <row r="59" spans="1:10" x14ac:dyDescent="0.25">
      <c r="B59" s="1" t="s">
        <v>14</v>
      </c>
      <c r="C59" s="1">
        <f>RANK(C57,57:57,1)</f>
        <v>7</v>
      </c>
      <c r="D59" s="1">
        <f t="shared" ref="D59:J59" si="18">RANK(D57,57:57,1)</f>
        <v>8</v>
      </c>
      <c r="E59" s="1">
        <f t="shared" si="18"/>
        <v>1</v>
      </c>
      <c r="F59" s="1">
        <f t="shared" si="18"/>
        <v>6</v>
      </c>
      <c r="G59" s="1">
        <f t="shared" si="18"/>
        <v>2</v>
      </c>
      <c r="H59" s="1">
        <f t="shared" si="18"/>
        <v>5</v>
      </c>
      <c r="I59" s="1">
        <f t="shared" si="18"/>
        <v>4</v>
      </c>
      <c r="J59" s="1">
        <f t="shared" si="18"/>
        <v>3</v>
      </c>
    </row>
    <row r="60" spans="1:10" x14ac:dyDescent="0.25">
      <c r="A60" s="1" t="s">
        <v>33</v>
      </c>
      <c r="B60" s="1" t="s">
        <v>12</v>
      </c>
      <c r="C60" s="2">
        <v>2586.3195925609966</v>
      </c>
      <c r="D60" s="2">
        <v>2525.0774581540313</v>
      </c>
      <c r="E60" s="2">
        <v>2321.9418117969676</v>
      </c>
      <c r="F60" s="2">
        <v>2377.857368264612</v>
      </c>
      <c r="G60" s="2">
        <v>2392.183041206697</v>
      </c>
      <c r="H60" s="2">
        <v>2417.514862650487</v>
      </c>
      <c r="I60" s="2">
        <v>2338.2289333992348</v>
      </c>
      <c r="J60" s="2">
        <v>2388.4338531606149</v>
      </c>
    </row>
    <row r="61" spans="1:10" x14ac:dyDescent="0.25">
      <c r="B61" s="1" t="s">
        <v>13</v>
      </c>
      <c r="C61" s="2">
        <v>208.79307272042155</v>
      </c>
      <c r="D61" s="2">
        <v>192.43577005898632</v>
      </c>
      <c r="E61" s="2">
        <v>154.83074155311107</v>
      </c>
      <c r="F61" s="2">
        <v>181.14816452137512</v>
      </c>
      <c r="G61" s="2">
        <v>234.13551480387378</v>
      </c>
      <c r="H61" s="2">
        <v>157.70019021842504</v>
      </c>
      <c r="I61" s="2">
        <v>215.51830429964005</v>
      </c>
      <c r="J61" s="2">
        <v>206.36150934886712</v>
      </c>
    </row>
    <row r="62" spans="1:10" x14ac:dyDescent="0.25">
      <c r="B62" s="1" t="s">
        <v>14</v>
      </c>
      <c r="C62" s="1">
        <f>RANK(C60,60:60,1)</f>
        <v>8</v>
      </c>
      <c r="D62" s="1">
        <f t="shared" ref="D62:J62" si="19">RANK(D60,60:60,1)</f>
        <v>7</v>
      </c>
      <c r="E62" s="1">
        <f t="shared" si="19"/>
        <v>1</v>
      </c>
      <c r="F62" s="1">
        <f t="shared" si="19"/>
        <v>3</v>
      </c>
      <c r="G62" s="1">
        <f t="shared" si="19"/>
        <v>5</v>
      </c>
      <c r="H62" s="1">
        <f t="shared" si="19"/>
        <v>6</v>
      </c>
      <c r="I62" s="1">
        <f t="shared" si="19"/>
        <v>2</v>
      </c>
      <c r="J62" s="1">
        <f t="shared" si="19"/>
        <v>4</v>
      </c>
    </row>
    <row r="63" spans="1:10" x14ac:dyDescent="0.25">
      <c r="A63" s="1" t="s">
        <v>34</v>
      </c>
      <c r="B63" s="1" t="s">
        <v>12</v>
      </c>
      <c r="C63" s="2">
        <v>2409.5572889121149</v>
      </c>
      <c r="D63" s="2">
        <v>2407.164534525426</v>
      </c>
      <c r="E63" s="2">
        <v>2369.9898578062903</v>
      </c>
      <c r="F63" s="2">
        <v>2373.381859873125</v>
      </c>
      <c r="G63" s="2">
        <v>2373.6706587846975</v>
      </c>
      <c r="H63" s="2">
        <v>2377.4841388993964</v>
      </c>
      <c r="I63" s="2">
        <v>2371.0115057695357</v>
      </c>
      <c r="J63" s="2">
        <v>2368.3570054695297</v>
      </c>
    </row>
    <row r="64" spans="1:10" x14ac:dyDescent="0.25">
      <c r="B64" s="1" t="s">
        <v>13</v>
      </c>
      <c r="C64" s="2">
        <v>21.514009894409298</v>
      </c>
      <c r="D64" s="2">
        <v>23.663606813297385</v>
      </c>
      <c r="E64" s="2">
        <v>21.195990926360775</v>
      </c>
      <c r="F64" s="2">
        <v>15.828408941134802</v>
      </c>
      <c r="G64" s="2">
        <v>22.679943940261413</v>
      </c>
      <c r="H64" s="2">
        <v>13.960179108375744</v>
      </c>
      <c r="I64" s="2">
        <v>25.678602275215582</v>
      </c>
      <c r="J64" s="2">
        <v>26.17156438616</v>
      </c>
    </row>
    <row r="65" spans="1:10" x14ac:dyDescent="0.25">
      <c r="B65" s="1" t="s">
        <v>14</v>
      </c>
      <c r="C65" s="1">
        <f>RANK(C63,63:63,1)</f>
        <v>8</v>
      </c>
      <c r="D65" s="1">
        <f t="shared" ref="D65:J65" si="20">RANK(D63,63:63,1)</f>
        <v>7</v>
      </c>
      <c r="E65" s="1">
        <f t="shared" si="20"/>
        <v>2</v>
      </c>
      <c r="F65" s="1">
        <f t="shared" si="20"/>
        <v>4</v>
      </c>
      <c r="G65" s="1">
        <f t="shared" si="20"/>
        <v>5</v>
      </c>
      <c r="H65" s="1">
        <f t="shared" si="20"/>
        <v>6</v>
      </c>
      <c r="I65" s="1">
        <f t="shared" si="20"/>
        <v>3</v>
      </c>
      <c r="J65" s="1">
        <f t="shared" si="20"/>
        <v>1</v>
      </c>
    </row>
    <row r="66" spans="1:10" x14ac:dyDescent="0.25">
      <c r="A66" s="1" t="s">
        <v>35</v>
      </c>
      <c r="B66" s="1" t="s">
        <v>12</v>
      </c>
      <c r="C66" s="2">
        <v>5228.3069359619149</v>
      </c>
      <c r="D66" s="2">
        <v>5104.2790308012973</v>
      </c>
      <c r="E66" s="2">
        <v>6790.4450234275846</v>
      </c>
      <c r="F66" s="2">
        <v>2320.0482288278945</v>
      </c>
      <c r="G66" s="2">
        <v>6408.7603773809215</v>
      </c>
      <c r="H66" s="2">
        <v>2320.2944732851988</v>
      </c>
      <c r="I66" s="2">
        <v>2306.4874233631108</v>
      </c>
      <c r="J66" s="2">
        <v>2306.5985775217209</v>
      </c>
    </row>
    <row r="67" spans="1:10" x14ac:dyDescent="0.25">
      <c r="B67" s="1" t="s">
        <v>13</v>
      </c>
      <c r="C67" s="2">
        <v>1800.0447380178134</v>
      </c>
      <c r="D67" s="2">
        <v>1511.9213461288189</v>
      </c>
      <c r="E67" s="2">
        <v>3073.8154634974189</v>
      </c>
      <c r="F67" s="2">
        <v>5.605525134041442</v>
      </c>
      <c r="G67" s="2">
        <v>3298.2573439813918</v>
      </c>
      <c r="H67" s="2">
        <v>6.409108716517995</v>
      </c>
      <c r="I67" s="2">
        <v>2.5236120636732848</v>
      </c>
      <c r="J67" s="2">
        <v>2.7407397760539207</v>
      </c>
    </row>
    <row r="68" spans="1:10" x14ac:dyDescent="0.25">
      <c r="B68" s="1" t="s">
        <v>14</v>
      </c>
      <c r="C68" s="1">
        <f>RANK(C66,66:66,1)</f>
        <v>6</v>
      </c>
      <c r="D68" s="1">
        <f t="shared" ref="D68:J68" si="21">RANK(D66,66:66,1)</f>
        <v>5</v>
      </c>
      <c r="E68" s="1">
        <f t="shared" si="21"/>
        <v>8</v>
      </c>
      <c r="F68" s="1">
        <f t="shared" si="21"/>
        <v>3</v>
      </c>
      <c r="G68" s="1">
        <f t="shared" si="21"/>
        <v>7</v>
      </c>
      <c r="H68" s="1">
        <f t="shared" si="21"/>
        <v>4</v>
      </c>
      <c r="I68" s="1">
        <f t="shared" si="21"/>
        <v>1</v>
      </c>
      <c r="J68" s="1">
        <f t="shared" si="21"/>
        <v>2</v>
      </c>
    </row>
    <row r="69" spans="1:10" x14ac:dyDescent="0.25">
      <c r="A69" s="1" t="s">
        <v>36</v>
      </c>
      <c r="B69" s="1" t="s">
        <v>12</v>
      </c>
      <c r="C69" s="2">
        <v>2838.2730285714983</v>
      </c>
      <c r="D69" s="2">
        <v>2815.3292550834899</v>
      </c>
      <c r="E69" s="2">
        <v>2734.3534600330922</v>
      </c>
      <c r="F69" s="2">
        <v>2779.0590421128118</v>
      </c>
      <c r="G69" s="2">
        <v>2741.4370719812691</v>
      </c>
      <c r="H69" s="2">
        <v>2783.1929134652501</v>
      </c>
      <c r="I69" s="2">
        <v>2731.1915251707233</v>
      </c>
      <c r="J69" s="2">
        <v>2727.4810008818304</v>
      </c>
    </row>
    <row r="70" spans="1:10" x14ac:dyDescent="0.25">
      <c r="B70" s="1" t="s">
        <v>13</v>
      </c>
      <c r="C70" s="2">
        <v>51.238088458552255</v>
      </c>
      <c r="D70" s="2">
        <v>43.238307189581526</v>
      </c>
      <c r="E70" s="2">
        <v>25.160186276932819</v>
      </c>
      <c r="F70" s="2">
        <v>34.286170473646415</v>
      </c>
      <c r="G70" s="2">
        <v>27.028782344875779</v>
      </c>
      <c r="H70" s="2">
        <v>26.95590566636622</v>
      </c>
      <c r="I70" s="2">
        <v>26.580684166819051</v>
      </c>
      <c r="J70" s="2">
        <v>21.902031338435581</v>
      </c>
    </row>
    <row r="71" spans="1:10" x14ac:dyDescent="0.25">
      <c r="B71" s="1" t="s">
        <v>14</v>
      </c>
      <c r="C71" s="1">
        <f>RANK(C69,69:69,1)</f>
        <v>8</v>
      </c>
      <c r="D71" s="1">
        <f t="shared" ref="D71:J71" si="22">RANK(D69,69:69,1)</f>
        <v>7</v>
      </c>
      <c r="E71" s="1">
        <f t="shared" si="22"/>
        <v>3</v>
      </c>
      <c r="F71" s="1">
        <f t="shared" si="22"/>
        <v>5</v>
      </c>
      <c r="G71" s="1">
        <f t="shared" si="22"/>
        <v>4</v>
      </c>
      <c r="H71" s="1">
        <f t="shared" si="22"/>
        <v>6</v>
      </c>
      <c r="I71" s="1">
        <f t="shared" si="22"/>
        <v>2</v>
      </c>
      <c r="J71" s="1">
        <f t="shared" si="22"/>
        <v>1</v>
      </c>
    </row>
    <row r="72" spans="1:10" x14ac:dyDescent="0.25">
      <c r="A72" s="1" t="s">
        <v>37</v>
      </c>
      <c r="B72" s="1" t="s">
        <v>12</v>
      </c>
      <c r="C72" s="2">
        <v>2975.7874127914529</v>
      </c>
      <c r="D72" s="2">
        <v>2962.6674927105778</v>
      </c>
      <c r="E72" s="2">
        <v>2962.4057125817649</v>
      </c>
      <c r="F72" s="2">
        <v>2930.0439069474801</v>
      </c>
      <c r="G72" s="2">
        <v>2949.4071920725892</v>
      </c>
      <c r="H72" s="2">
        <v>2934.8401250380725</v>
      </c>
      <c r="I72" s="2">
        <v>2964.2254266790428</v>
      </c>
      <c r="J72" s="2">
        <v>2952.8728351587906</v>
      </c>
    </row>
    <row r="73" spans="1:10" x14ac:dyDescent="0.25">
      <c r="B73" s="1" t="s">
        <v>13</v>
      </c>
      <c r="C73" s="2">
        <v>41.344647455105353</v>
      </c>
      <c r="D73" s="2">
        <v>36.631879935179917</v>
      </c>
      <c r="E73" s="2">
        <v>41.104250313713585</v>
      </c>
      <c r="F73" s="2">
        <v>27.584036952100739</v>
      </c>
      <c r="G73" s="2">
        <v>36.555464578379123</v>
      </c>
      <c r="H73" s="2">
        <v>34.208947064162331</v>
      </c>
      <c r="I73" s="2">
        <v>49.293303729070487</v>
      </c>
      <c r="J73" s="2">
        <v>44.655812610969974</v>
      </c>
    </row>
    <row r="74" spans="1:10" x14ac:dyDescent="0.25">
      <c r="B74" s="1" t="s">
        <v>14</v>
      </c>
      <c r="C74" s="1">
        <f>RANK(C72,72:72,1)</f>
        <v>8</v>
      </c>
      <c r="D74" s="1">
        <f t="shared" ref="D74:J74" si="23">RANK(D72,72:72,1)</f>
        <v>6</v>
      </c>
      <c r="E74" s="1">
        <f t="shared" si="23"/>
        <v>5</v>
      </c>
      <c r="F74" s="1">
        <f t="shared" si="23"/>
        <v>1</v>
      </c>
      <c r="G74" s="1">
        <f t="shared" si="23"/>
        <v>3</v>
      </c>
      <c r="H74" s="1">
        <f t="shared" si="23"/>
        <v>2</v>
      </c>
      <c r="I74" s="1">
        <f t="shared" si="23"/>
        <v>7</v>
      </c>
      <c r="J74" s="1">
        <f t="shared" si="23"/>
        <v>4</v>
      </c>
    </row>
    <row r="75" spans="1:10" x14ac:dyDescent="0.25">
      <c r="A75" s="1" t="s">
        <v>38</v>
      </c>
      <c r="B75" s="1" t="s">
        <v>12</v>
      </c>
      <c r="C75" s="2">
        <v>2944.2817596352306</v>
      </c>
      <c r="D75" s="2">
        <v>2955.7386957508625</v>
      </c>
      <c r="E75" s="2">
        <v>2895.79597225425</v>
      </c>
      <c r="F75" s="2">
        <v>2921.3884371280383</v>
      </c>
      <c r="G75" s="2">
        <v>2893.7363319623346</v>
      </c>
      <c r="H75" s="2">
        <v>2928.4469614453728</v>
      </c>
      <c r="I75" s="2">
        <v>2891.2841170933393</v>
      </c>
      <c r="J75" s="2">
        <v>2895.3985016006377</v>
      </c>
    </row>
    <row r="76" spans="1:10" x14ac:dyDescent="0.25">
      <c r="B76" s="1" t="s">
        <v>13</v>
      </c>
      <c r="C76" s="2">
        <v>40.175426431391543</v>
      </c>
      <c r="D76" s="2">
        <v>42.320701252835846</v>
      </c>
      <c r="E76" s="2">
        <v>12.47510398730989</v>
      </c>
      <c r="F76" s="2">
        <v>23.770065864912702</v>
      </c>
      <c r="G76" s="2">
        <v>8.4640735610044651</v>
      </c>
      <c r="H76" s="2">
        <v>22.407310997278444</v>
      </c>
      <c r="I76" s="2">
        <v>6.0837071575544135</v>
      </c>
      <c r="J76" s="2">
        <v>10.752094080285326</v>
      </c>
    </row>
    <row r="77" spans="1:10" x14ac:dyDescent="0.25">
      <c r="B77" s="1" t="s">
        <v>14</v>
      </c>
      <c r="C77" s="1">
        <f>RANK(C75,75:75,1)</f>
        <v>7</v>
      </c>
      <c r="D77" s="1">
        <f t="shared" ref="D77:J77" si="24">RANK(D75,75:75,1)</f>
        <v>8</v>
      </c>
      <c r="E77" s="1">
        <f t="shared" si="24"/>
        <v>4</v>
      </c>
      <c r="F77" s="1">
        <f t="shared" si="24"/>
        <v>5</v>
      </c>
      <c r="G77" s="1">
        <f t="shared" si="24"/>
        <v>2</v>
      </c>
      <c r="H77" s="1">
        <f t="shared" si="24"/>
        <v>6</v>
      </c>
      <c r="I77" s="1">
        <f t="shared" si="24"/>
        <v>1</v>
      </c>
      <c r="J77" s="1">
        <f t="shared" si="24"/>
        <v>3</v>
      </c>
    </row>
    <row r="78" spans="1:10" x14ac:dyDescent="0.25">
      <c r="A78" s="1" t="s">
        <v>39</v>
      </c>
      <c r="B78" s="1" t="s">
        <v>12</v>
      </c>
      <c r="C78" s="2">
        <v>5797.9545302556344</v>
      </c>
      <c r="D78" s="2">
        <v>5344.8572291276805</v>
      </c>
      <c r="E78" s="2">
        <v>4547.9094974987065</v>
      </c>
      <c r="F78" s="2">
        <v>5209.9445270923698</v>
      </c>
      <c r="G78" s="2">
        <v>4540.0239309760518</v>
      </c>
      <c r="H78" s="2">
        <v>5087.3767344668786</v>
      </c>
      <c r="I78" s="2">
        <v>4487.110728316824</v>
      </c>
      <c r="J78" s="2">
        <v>4497.9887774835934</v>
      </c>
    </row>
    <row r="79" spans="1:10" x14ac:dyDescent="0.25">
      <c r="B79" s="1" t="s">
        <v>13</v>
      </c>
      <c r="C79" s="2">
        <v>476.48229225720507</v>
      </c>
      <c r="D79" s="2">
        <v>367.34714037924005</v>
      </c>
      <c r="E79" s="2">
        <v>397.60214291776964</v>
      </c>
      <c r="F79" s="2">
        <v>306.06520890258128</v>
      </c>
      <c r="G79" s="2">
        <v>267.59240788391656</v>
      </c>
      <c r="H79" s="2">
        <v>425.9590995863353</v>
      </c>
      <c r="I79" s="2">
        <v>240.54498149295554</v>
      </c>
      <c r="J79" s="2">
        <v>225.58656860384792</v>
      </c>
    </row>
    <row r="80" spans="1:10" x14ac:dyDescent="0.25">
      <c r="B80" s="1" t="s">
        <v>14</v>
      </c>
      <c r="C80" s="1">
        <f>RANK(C78,78:78,1)</f>
        <v>8</v>
      </c>
      <c r="D80" s="1">
        <f t="shared" ref="D80:J80" si="25">RANK(D78,78:78,1)</f>
        <v>7</v>
      </c>
      <c r="E80" s="1">
        <f t="shared" si="25"/>
        <v>4</v>
      </c>
      <c r="F80" s="1">
        <f t="shared" si="25"/>
        <v>6</v>
      </c>
      <c r="G80" s="1">
        <f t="shared" si="25"/>
        <v>3</v>
      </c>
      <c r="H80" s="1">
        <f t="shared" si="25"/>
        <v>5</v>
      </c>
      <c r="I80" s="1">
        <f t="shared" si="25"/>
        <v>1</v>
      </c>
      <c r="J80" s="1">
        <f t="shared" si="25"/>
        <v>2</v>
      </c>
    </row>
    <row r="81" spans="1:10" x14ac:dyDescent="0.25">
      <c r="A81" s="1" t="s">
        <v>40</v>
      </c>
      <c r="B81" s="1" t="s">
        <v>12</v>
      </c>
      <c r="C81" s="2">
        <v>3290.0672762904123</v>
      </c>
      <c r="D81" s="2">
        <v>3293.5585957743015</v>
      </c>
      <c r="E81" s="2">
        <v>3224.7293996599287</v>
      </c>
      <c r="F81" s="2">
        <v>3291.17172467912</v>
      </c>
      <c r="G81" s="2">
        <v>3221.5535569058065</v>
      </c>
      <c r="H81" s="2">
        <v>3292.7494687091657</v>
      </c>
      <c r="I81" s="2">
        <v>3224.2424053551963</v>
      </c>
      <c r="J81" s="2">
        <v>3225.4712848014779</v>
      </c>
    </row>
    <row r="82" spans="1:10" x14ac:dyDescent="0.25">
      <c r="B82" s="1" t="s">
        <v>13</v>
      </c>
      <c r="C82" s="2">
        <v>38.349032314725605</v>
      </c>
      <c r="D82" s="2">
        <v>27.578778615571679</v>
      </c>
      <c r="E82" s="2">
        <v>9.7216066639509364</v>
      </c>
      <c r="F82" s="2">
        <v>30.334199004916577</v>
      </c>
      <c r="G82" s="2">
        <v>11.563467447657679</v>
      </c>
      <c r="H82" s="2">
        <v>26.373521847068972</v>
      </c>
      <c r="I82" s="2">
        <v>10.135572890072547</v>
      </c>
      <c r="J82" s="2">
        <v>10.656032012708552</v>
      </c>
    </row>
    <row r="83" spans="1:10" x14ac:dyDescent="0.25">
      <c r="B83" s="1" t="s">
        <v>14</v>
      </c>
      <c r="C83" s="1">
        <f>RANK(C81,81:81,1)</f>
        <v>5</v>
      </c>
      <c r="D83" s="1">
        <f t="shared" ref="D83:J83" si="26">RANK(D81,81:81,1)</f>
        <v>8</v>
      </c>
      <c r="E83" s="1">
        <f t="shared" si="26"/>
        <v>3</v>
      </c>
      <c r="F83" s="1">
        <f t="shared" si="26"/>
        <v>6</v>
      </c>
      <c r="G83" s="1">
        <f t="shared" si="26"/>
        <v>1</v>
      </c>
      <c r="H83" s="1">
        <f t="shared" si="26"/>
        <v>7</v>
      </c>
      <c r="I83" s="1">
        <f t="shared" si="26"/>
        <v>2</v>
      </c>
      <c r="J83" s="1">
        <f t="shared" si="26"/>
        <v>4</v>
      </c>
    </row>
    <row r="84" spans="1:10" x14ac:dyDescent="0.25">
      <c r="A84" s="1" t="s">
        <v>41</v>
      </c>
      <c r="B84" s="1" t="s">
        <v>12</v>
      </c>
      <c r="C84" s="2">
        <v>3398.6373938511156</v>
      </c>
      <c r="D84" s="2">
        <v>3375.9066744550196</v>
      </c>
      <c r="E84" s="2">
        <v>3266.8680255480799</v>
      </c>
      <c r="F84" s="2">
        <v>3317.7950441241551</v>
      </c>
      <c r="G84" s="2">
        <v>3265.0616029622702</v>
      </c>
      <c r="H84" s="2">
        <v>3326.2512234690721</v>
      </c>
      <c r="I84" s="2">
        <v>3249.9664449582242</v>
      </c>
      <c r="J84" s="2">
        <v>3262.5042137779515</v>
      </c>
    </row>
    <row r="85" spans="1:10" x14ac:dyDescent="0.25">
      <c r="B85" s="1" t="s">
        <v>13</v>
      </c>
      <c r="C85" s="2">
        <v>77.788375475298068</v>
      </c>
      <c r="D85" s="2">
        <v>71.017082518684546</v>
      </c>
      <c r="E85" s="2">
        <v>22.373772408905765</v>
      </c>
      <c r="F85" s="2">
        <v>26.110892569410971</v>
      </c>
      <c r="G85" s="2">
        <v>17.309229738405296</v>
      </c>
      <c r="H85" s="2">
        <v>30.709237040115664</v>
      </c>
      <c r="I85" s="2">
        <v>26.65838563136294</v>
      </c>
      <c r="J85" s="2">
        <v>19.690344140837848</v>
      </c>
    </row>
    <row r="86" spans="1:10" x14ac:dyDescent="0.25">
      <c r="B86" s="1" t="s">
        <v>14</v>
      </c>
      <c r="C86" s="1">
        <f>RANK(C84,84:84,1)</f>
        <v>8</v>
      </c>
      <c r="D86" s="1">
        <f t="shared" ref="D86:J86" si="27">RANK(D84,84:84,1)</f>
        <v>7</v>
      </c>
      <c r="E86" s="1">
        <f t="shared" si="27"/>
        <v>4</v>
      </c>
      <c r="F86" s="1">
        <f t="shared" si="27"/>
        <v>5</v>
      </c>
      <c r="G86" s="1">
        <f t="shared" si="27"/>
        <v>3</v>
      </c>
      <c r="H86" s="1">
        <f t="shared" si="27"/>
        <v>6</v>
      </c>
      <c r="I86" s="1">
        <f t="shared" si="27"/>
        <v>1</v>
      </c>
      <c r="J86" s="1">
        <f t="shared" si="27"/>
        <v>2</v>
      </c>
    </row>
    <row r="87" spans="1:10" x14ac:dyDescent="0.25">
      <c r="A87" s="1" t="s">
        <v>42</v>
      </c>
      <c r="B87" s="1" t="s">
        <v>12</v>
      </c>
      <c r="C87" s="2">
        <v>4131.055275529643</v>
      </c>
      <c r="D87" s="2">
        <v>4045.9028717695005</v>
      </c>
      <c r="E87" s="2">
        <v>3727.542656379288</v>
      </c>
      <c r="F87" s="2">
        <v>3911.4572368637182</v>
      </c>
      <c r="G87" s="2">
        <v>3637.9054735569634</v>
      </c>
      <c r="H87" s="2">
        <v>3971.8593088775501</v>
      </c>
      <c r="I87" s="2">
        <v>3746.2161393919064</v>
      </c>
      <c r="J87" s="2">
        <v>3642.0999407984855</v>
      </c>
    </row>
    <row r="88" spans="1:10" x14ac:dyDescent="0.25">
      <c r="B88" s="1" t="s">
        <v>13</v>
      </c>
      <c r="C88" s="2">
        <v>261.20906425762638</v>
      </c>
      <c r="D88" s="2">
        <v>234.71325474419322</v>
      </c>
      <c r="E88" s="2">
        <v>161.92231319431903</v>
      </c>
      <c r="F88" s="2">
        <v>125.5986965206331</v>
      </c>
      <c r="G88" s="2">
        <v>150.4863666821314</v>
      </c>
      <c r="H88" s="2">
        <v>169.22579926156496</v>
      </c>
      <c r="I88" s="2">
        <v>198.50004223734535</v>
      </c>
      <c r="J88" s="2">
        <v>165.8064419927197</v>
      </c>
    </row>
    <row r="89" spans="1:10" x14ac:dyDescent="0.25">
      <c r="B89" s="1" t="s">
        <v>14</v>
      </c>
      <c r="C89" s="1">
        <f>RANK(C87,87:87,1)</f>
        <v>8</v>
      </c>
      <c r="D89" s="1">
        <f t="shared" ref="D89:J89" si="28">RANK(D87,87:87,1)</f>
        <v>7</v>
      </c>
      <c r="E89" s="1">
        <f t="shared" si="28"/>
        <v>3</v>
      </c>
      <c r="F89" s="1">
        <f t="shared" si="28"/>
        <v>5</v>
      </c>
      <c r="G89" s="1">
        <f t="shared" si="28"/>
        <v>1</v>
      </c>
      <c r="H89" s="1">
        <f t="shared" si="28"/>
        <v>6</v>
      </c>
      <c r="I89" s="1">
        <f t="shared" si="28"/>
        <v>4</v>
      </c>
      <c r="J89" s="1">
        <f t="shared" si="28"/>
        <v>2</v>
      </c>
    </row>
    <row r="90" spans="1:10" x14ac:dyDescent="0.25">
      <c r="A90" s="1" t="s">
        <v>43</v>
      </c>
      <c r="B90" s="1" t="s">
        <v>12</v>
      </c>
      <c r="C90" s="2">
        <v>165765.96437716408</v>
      </c>
      <c r="D90" s="2">
        <v>336185.64986594039</v>
      </c>
      <c r="E90" s="2">
        <v>28632.748363473162</v>
      </c>
      <c r="F90" s="2">
        <v>230325.92304937044</v>
      </c>
      <c r="G90" s="2">
        <v>27631.969606385723</v>
      </c>
      <c r="H90" s="2">
        <v>180439.88929008503</v>
      </c>
      <c r="I90" s="2">
        <v>18752.950728178759</v>
      </c>
      <c r="J90" s="2">
        <v>26049.715183265525</v>
      </c>
    </row>
    <row r="91" spans="1:10" x14ac:dyDescent="0.25">
      <c r="B91" s="1" t="s">
        <v>13</v>
      </c>
      <c r="C91" s="2">
        <v>144170.65671940029</v>
      </c>
      <c r="D91" s="2">
        <v>432895.3973173534</v>
      </c>
      <c r="E91" s="2">
        <v>29790.546196759937</v>
      </c>
      <c r="F91" s="2">
        <v>454717.19959326007</v>
      </c>
      <c r="G91" s="2">
        <v>28927.063391371674</v>
      </c>
      <c r="H91" s="2">
        <v>154348.17095484861</v>
      </c>
      <c r="I91" s="2">
        <v>9285.7154322560546</v>
      </c>
      <c r="J91" s="2">
        <v>18239.248274289264</v>
      </c>
    </row>
    <row r="92" spans="1:10" x14ac:dyDescent="0.25">
      <c r="B92" s="1" t="s">
        <v>14</v>
      </c>
      <c r="C92" s="1">
        <f>RANK(C90,90:90,1)</f>
        <v>5</v>
      </c>
      <c r="D92" s="1">
        <f t="shared" ref="D92:J92" si="29">RANK(D90,90:90,1)</f>
        <v>8</v>
      </c>
      <c r="E92" s="1">
        <f t="shared" si="29"/>
        <v>4</v>
      </c>
      <c r="F92" s="1">
        <f t="shared" si="29"/>
        <v>7</v>
      </c>
      <c r="G92" s="1">
        <f t="shared" si="29"/>
        <v>3</v>
      </c>
      <c r="H92" s="1">
        <f t="shared" si="29"/>
        <v>6</v>
      </c>
      <c r="I92" s="1">
        <f t="shared" si="29"/>
        <v>1</v>
      </c>
      <c r="J92" s="1">
        <f t="shared" si="29"/>
        <v>2</v>
      </c>
    </row>
    <row r="93" spans="1:10" x14ac:dyDescent="0.25">
      <c r="A93" s="1" t="s">
        <v>44</v>
      </c>
      <c r="C93" s="1">
        <v>5.833333333333333</v>
      </c>
      <c r="D93" s="1">
        <v>5.5666666666666664</v>
      </c>
      <c r="E93" s="1">
        <v>3.8</v>
      </c>
      <c r="F93" s="1">
        <v>4.9000000000000004</v>
      </c>
      <c r="G93" s="1">
        <v>3.2333333333333334</v>
      </c>
      <c r="H93" s="1">
        <v>5.3</v>
      </c>
      <c r="I93" s="1">
        <v>3.8</v>
      </c>
      <c r="J93" s="1">
        <v>3.5666666666666669</v>
      </c>
    </row>
    <row r="94" spans="1:10" x14ac:dyDescent="0.25">
      <c r="A94" s="3" t="s">
        <v>45</v>
      </c>
    </row>
    <row r="95" spans="1:10" x14ac:dyDescent="0.25">
      <c r="A95" s="1" t="s">
        <v>46</v>
      </c>
      <c r="C95" s="1">
        <f t="shared" ref="C95:J95" si="30">AVERAGE(C5,C8,C11,C14,C17,C20,C23,C26,C29,C32,C35,C38,C41,C44,C47,C50,C53,C56,C59,C62,C65,C68,C71,C74,C77,C80,C83,C86,C89,C92)</f>
        <v>7</v>
      </c>
      <c r="D95" s="1">
        <f t="shared" si="30"/>
        <v>6.5666666666666664</v>
      </c>
      <c r="E95" s="1">
        <f t="shared" si="30"/>
        <v>3.6666666666666665</v>
      </c>
      <c r="F95" s="1">
        <f t="shared" si="30"/>
        <v>4.8</v>
      </c>
      <c r="G95" s="1">
        <f t="shared" si="30"/>
        <v>3.3333333333333335</v>
      </c>
      <c r="H95" s="1">
        <f t="shared" si="30"/>
        <v>5.0333333333333332</v>
      </c>
      <c r="I95" s="1">
        <f t="shared" si="30"/>
        <v>2.5</v>
      </c>
      <c r="J95" s="1">
        <f t="shared" si="30"/>
        <v>3.1</v>
      </c>
    </row>
    <row r="96" spans="1:10" x14ac:dyDescent="0.25">
      <c r="A96" s="1" t="s">
        <v>47</v>
      </c>
      <c r="C96" s="1">
        <f>RANK(C97,97:97,1)</f>
        <v>8</v>
      </c>
      <c r="D96" s="1">
        <f t="shared" ref="D96:J96" si="31">RANK(D97,97:97,1)</f>
        <v>7</v>
      </c>
      <c r="E96" s="1">
        <f t="shared" si="31"/>
        <v>4</v>
      </c>
      <c r="F96" s="1">
        <f t="shared" si="31"/>
        <v>5</v>
      </c>
      <c r="G96" s="1">
        <f t="shared" si="31"/>
        <v>2</v>
      </c>
      <c r="H96" s="1">
        <f t="shared" si="31"/>
        <v>6</v>
      </c>
      <c r="I96" s="1">
        <f t="shared" si="31"/>
        <v>1</v>
      </c>
      <c r="J96" s="1">
        <f t="shared" si="31"/>
        <v>3</v>
      </c>
    </row>
    <row r="97" spans="3:10" x14ac:dyDescent="0.25">
      <c r="C97" s="1">
        <f>C93+C95</f>
        <v>12.833333333333332</v>
      </c>
      <c r="D97" s="1">
        <f t="shared" ref="D97:J97" si="32">D93+D95</f>
        <v>12.133333333333333</v>
      </c>
      <c r="E97" s="1">
        <f t="shared" si="32"/>
        <v>7.4666666666666668</v>
      </c>
      <c r="F97" s="1">
        <f t="shared" si="32"/>
        <v>9.6999999999999993</v>
      </c>
      <c r="G97" s="1">
        <f t="shared" si="32"/>
        <v>6.5666666666666664</v>
      </c>
      <c r="H97" s="1">
        <f t="shared" si="32"/>
        <v>10.333333333333332</v>
      </c>
      <c r="I97" s="1">
        <f t="shared" si="32"/>
        <v>6.3</v>
      </c>
      <c r="J97" s="1">
        <f t="shared" si="32"/>
        <v>6.666666666666667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加工表</vt:lpstr>
      <vt:lpstr>辅助表</vt:lpstr>
      <vt:lpstr>原数据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Averil Tung</cp:lastModifiedBy>
  <dcterms:created xsi:type="dcterms:W3CDTF">2015-06-05T18:19:34Z</dcterms:created>
  <dcterms:modified xsi:type="dcterms:W3CDTF">2024-01-21T17:16:02Z</dcterms:modified>
</cp:coreProperties>
</file>